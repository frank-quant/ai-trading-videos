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指引" sheetId="1" state="visible" r:id="rId1"/>
    <sheet xmlns:r="http://schemas.openxmlformats.org/officeDocument/2006/relationships" name="核心业绩" sheetId="2" state="visible" r:id="rId2"/>
    <sheet xmlns:r="http://schemas.openxmlformats.org/officeDocument/2006/relationships" name="现金流与资产负债" sheetId="3" state="visible" r:id="rId3"/>
    <sheet xmlns:r="http://schemas.openxmlformats.org/officeDocument/2006/relationships" name="经营指标" sheetId="4" state="visible" r:id="rId4"/>
    <sheet xmlns:r="http://schemas.openxmlformats.org/officeDocument/2006/relationships" name="预期对比" sheetId="5" state="visible" r:id="rId5"/>
    <sheet xmlns:r="http://schemas.openxmlformats.org/officeDocument/2006/relationships" name="一次性因素" sheetId="6" state="visible" r:id="rId6"/>
    <sheet xmlns:r="http://schemas.openxmlformats.org/officeDocument/2006/relationships" name="来源清单" sheetId="7" state="visible" r:id="rId7"/>
  </sheets>
  <definedNames>
    <definedName name="_xlnm._FilterDatabase" localSheetId="6" hidden="1">'来源清单'!$B$2:$H$13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10">
    <font>
      <name val="Calibri"/>
      <family val="2"/>
      <color theme="1"/>
      <sz val="11"/>
      <scheme val="minor"/>
    </font>
    <font>
      <name val="Microsoft YaHei"/>
      <b val="1"/>
      <color rgb="0017324D"/>
      <sz val="18"/>
    </font>
    <font>
      <name val="Microsoft YaHei"/>
      <color rgb="00666666"/>
      <sz val="10"/>
    </font>
    <font>
      <name val="Microsoft YaHei"/>
      <b val="1"/>
      <color rgb="00FFFFFF"/>
    </font>
    <font>
      <name val="Microsoft YaHei"/>
      <color rgb="002F75B5"/>
      <sz val="10"/>
    </font>
    <font>
      <name val="Microsoft YaHei"/>
      <b val="1"/>
      <color rgb="0017324D"/>
      <sz val="11"/>
    </font>
    <font>
      <name val="Microsoft YaHei"/>
      <color rgb="00000000"/>
      <sz val="10"/>
    </font>
    <font>
      <name val="Microsoft YaHei"/>
      <b val="1"/>
      <color rgb="0017324D"/>
    </font>
    <font>
      <name val="Microsoft YaHei"/>
      <color rgb="00008000"/>
      <sz val="10"/>
    </font>
    <font>
      <name val="Microsoft YaHei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 wrapText="1"/>
    </xf>
    <xf numFmtId="164" fontId="6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164" fontId="4" fillId="0" borderId="0" pivotButton="0" quotePrefix="0" xfId="0"/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165" fontId="6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季度收入与利润（万亿韩元）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'阅读指引'!K5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'阅读指引'!$J$6:$J$8</f>
            </numRef>
          </cat>
          <val>
            <numRef>
              <f>'阅读指引'!$K$6:$K$8</f>
            </numRef>
          </val>
        </ser>
        <ser>
          <idx val="1"/>
          <order val="1"/>
          <tx>
            <strRef>
              <f>'阅读指引'!L5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'阅读指引'!$J$6:$J$8</f>
            </numRef>
          </cat>
          <val>
            <numRef>
              <f>'阅读指引'!$L$6:$L$8</f>
            </numRef>
          </val>
        </ser>
        <ser>
          <idx val="2"/>
          <order val="2"/>
          <tx>
            <strRef>
              <f>'阅读指引'!M5</f>
            </strRef>
          </tx>
          <spPr>
            <a:ln xmlns:a="http://schemas.openxmlformats.org/drawingml/2006/main">
              <a:prstDash val="solid"/>
            </a:ln>
          </spPr>
          <cat>
            <numRef>
              <f>'阅读指引'!$J$6:$J$8</f>
            </numRef>
          </cat>
          <val>
            <numRef>
              <f>'阅读指引'!$M$6:$M$8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万亿韩元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</cols>
  <sheetData>
    <row r="2" ht="28" customHeight="1">
      <c r="B2" s="1" t="inlineStr">
        <is>
          <t>SK海力士 2026Q2 业绩数据包</t>
        </is>
      </c>
    </row>
    <row r="3" ht="32" customHeight="1">
      <c r="B3" s="2" t="inlineStr">
        <is>
          <t>报告期：2026-04-01至2026-06-30；发布日期：2026-07-29；信息截止：2026-10-26。金额单位统一为万亿韩元。</t>
        </is>
      </c>
    </row>
    <row r="5" ht="32" customHeight="1">
      <c r="B5" s="3" t="inlineStr">
        <is>
          <t>指标</t>
        </is>
      </c>
      <c r="C5" s="3" t="inlineStr">
        <is>
          <t>数值</t>
        </is>
      </c>
      <c r="D5" s="3" t="inlineStr">
        <is>
          <t>口径</t>
        </is>
      </c>
      <c r="E5" s="3" t="inlineStr">
        <is>
          <t>指标</t>
        </is>
      </c>
      <c r="F5" s="3" t="inlineStr">
        <is>
          <t>数值</t>
        </is>
      </c>
      <c r="G5" s="3" t="inlineStr">
        <is>
          <t>口径</t>
        </is>
      </c>
      <c r="J5" t="inlineStr">
        <is>
          <t>季度</t>
        </is>
      </c>
      <c r="K5" t="inlineStr">
        <is>
          <t>收入</t>
        </is>
      </c>
      <c r="L5" t="inlineStr">
        <is>
          <t>营业利润</t>
        </is>
      </c>
      <c r="M5" t="inlineStr">
        <is>
          <t>净利润</t>
        </is>
      </c>
    </row>
    <row r="6">
      <c r="B6" s="4" t="inlineStr">
        <is>
          <t>2026Q2营业收入</t>
        </is>
      </c>
      <c r="C6" s="5">
        <f>N6</f>
        <v/>
      </c>
      <c r="D6" s="6" t="inlineStr">
        <is>
          <t>单季，K-IFRS</t>
        </is>
      </c>
      <c r="E6" s="6" t="inlineStr">
        <is>
          <t>2026Q2营业利润</t>
        </is>
      </c>
      <c r="F6" s="5">
        <f>N7</f>
        <v/>
      </c>
      <c r="G6" s="6" t="inlineStr">
        <is>
          <t>单季，K-IFRS</t>
        </is>
      </c>
      <c r="J6" t="inlineStr">
        <is>
          <t>2025Q2</t>
        </is>
      </c>
      <c r="K6" t="n">
        <v>22.231952</v>
      </c>
      <c r="L6" t="n">
        <v>9.212851000000001</v>
      </c>
      <c r="M6" t="n">
        <v>6.996216</v>
      </c>
      <c r="N6" s="7" t="n">
        <v>79.318746</v>
      </c>
    </row>
    <row r="7">
      <c r="B7" s="8" t="inlineStr">
        <is>
          <t>2026Q2营业利润率</t>
        </is>
      </c>
      <c r="C7" s="9">
        <f>N7/N6</f>
        <v/>
      </c>
      <c r="D7" s="10" t="inlineStr">
        <is>
          <t>单季，公式计算</t>
        </is>
      </c>
      <c r="E7" s="10" t="inlineStr">
        <is>
          <t>2026Q2净利润</t>
        </is>
      </c>
      <c r="F7" s="11">
        <f>N8</f>
        <v/>
      </c>
      <c r="G7" s="10" t="inlineStr">
        <is>
          <t>含投资资产收益</t>
        </is>
      </c>
      <c r="J7" t="inlineStr">
        <is>
          <t>2026Q1</t>
        </is>
      </c>
      <c r="K7" t="n">
        <v>52.576287</v>
      </c>
      <c r="L7" t="n">
        <v>37.610283</v>
      </c>
      <c r="M7" t="n">
        <v>40.345909</v>
      </c>
      <c r="N7" s="7" t="n">
        <v>60.542608</v>
      </c>
    </row>
    <row r="8">
      <c r="B8" s="4" t="inlineStr">
        <is>
          <t>2026Q2经营现金流</t>
        </is>
      </c>
      <c r="C8" s="5">
        <f>N9</f>
        <v/>
      </c>
      <c r="D8" s="6" t="inlineStr">
        <is>
          <t>初步业绩演示口径</t>
        </is>
      </c>
      <c r="E8" s="6" t="inlineStr">
        <is>
          <t>2026Q2自由现金流代理值</t>
        </is>
      </c>
      <c r="F8" s="5">
        <f>N9-N10</f>
        <v/>
      </c>
      <c r="G8" s="6" t="inlineStr">
        <is>
          <t>经营现金流－购建固定资产</t>
        </is>
      </c>
      <c r="J8" t="inlineStr">
        <is>
          <t>2026Q2</t>
        </is>
      </c>
      <c r="K8" t="n">
        <v>79.318746</v>
      </c>
      <c r="L8" t="n">
        <v>60.542608</v>
      </c>
      <c r="M8" t="n">
        <v>93.92259300000001</v>
      </c>
      <c r="N8" s="7" t="n">
        <v>93.92259300000001</v>
      </c>
    </row>
    <row r="9">
      <c r="B9" s="8" t="inlineStr">
        <is>
          <t>收入较事前预期</t>
        </is>
      </c>
      <c r="C9" s="11">
        <f>N6-N11</f>
        <v/>
      </c>
      <c r="D9" s="10" t="inlineStr">
        <is>
          <t>LSEG SmartEstimate</t>
        </is>
      </c>
      <c r="E9" s="10" t="inlineStr">
        <is>
          <t>营业利润较事前预期</t>
        </is>
      </c>
      <c r="F9" s="11">
        <f>N7-N12</f>
        <v/>
      </c>
      <c r="G9" s="10" t="inlineStr">
        <is>
          <t>LSEG SmartEstimate</t>
        </is>
      </c>
      <c r="N9" s="7" t="n">
        <v>65.70999999999999</v>
      </c>
    </row>
    <row r="10">
      <c r="N10" s="7" t="n">
        <v>10.671</v>
      </c>
    </row>
    <row r="11">
      <c r="N11" s="7" t="n">
        <v>84</v>
      </c>
    </row>
    <row r="12" ht="32" customHeight="1">
      <c r="B12" s="3" t="inlineStr">
        <is>
          <t>工作表</t>
        </is>
      </c>
      <c r="C12" s="3" t="inlineStr">
        <is>
          <t>内容</t>
        </is>
      </c>
      <c r="N12" s="7" t="n">
        <v>64</v>
      </c>
    </row>
    <row r="13">
      <c r="B13" s="8" t="inlineStr">
        <is>
          <t>核心业绩</t>
        </is>
      </c>
      <c r="C13" s="10" t="inlineStr">
        <is>
          <t>单季度与上半年累计利润表、同比/环比和利润率</t>
        </is>
      </c>
    </row>
    <row r="14">
      <c r="B14" s="4" t="inlineStr">
        <is>
          <t>现金流与资产负债</t>
        </is>
      </c>
      <c r="C14" s="6" t="inlineStr">
        <is>
          <t>单季初步现金流、上半年报告口径现金流、期末资产负债</t>
        </is>
      </c>
    </row>
    <row r="15">
      <c r="B15" s="8" t="inlineStr">
        <is>
          <t>经营指标</t>
        </is>
      </c>
      <c r="C15" s="10" t="inlineStr">
        <is>
          <t>价格、出货量、产品进展和后续指引</t>
        </is>
      </c>
    </row>
    <row r="16">
      <c r="B16" s="4" t="inlineStr">
        <is>
          <t>预期对比</t>
        </is>
      </c>
      <c r="C16" s="6" t="inlineStr">
        <is>
          <t>实际值与LSEG财报公布前一致预期</t>
        </is>
      </c>
    </row>
    <row r="17">
      <c r="B17" s="8" t="inlineStr">
        <is>
          <t>一次性因素</t>
        </is>
      </c>
      <c r="C17" s="10" t="inlineStr">
        <is>
          <t>经营利润与非经营损益桥接</t>
        </is>
      </c>
    </row>
    <row r="18">
      <c r="B18" s="4" t="inlineStr">
        <is>
          <t>来源清单</t>
        </is>
      </c>
      <c r="C18" s="6" t="inlineStr">
        <is>
          <t>使用资料、日期、URL及本地文件</t>
        </is>
      </c>
    </row>
    <row r="20">
      <c r="B20" s="12" t="inlineStr">
        <is>
          <t>重要口径</t>
        </is>
      </c>
    </row>
    <row r="21" ht="28" customHeight="1">
      <c r="B21" s="13" t="inlineStr">
        <is>
          <t>1. Q2单季现金流采用2026-07-29初步业绩演示；H1现金流采用后续6-K半年报，两者存在小额口径差，不直接相加。</t>
        </is>
      </c>
    </row>
    <row r="22" ht="28" customHeight="1">
      <c r="B22" s="13" t="inlineStr">
        <is>
          <t>2. 自由现金流代理值＝经营活动现金流－购建固定资产现金支出，不是公司披露的法定指标。</t>
        </is>
      </c>
    </row>
    <row r="23" ht="28" customHeight="1">
      <c r="B23" s="13" t="inlineStr">
        <is>
          <t>3. 2026Q2净利润含约63.27万亿韩元投资资产相关收益；不计算“调整后净利润”，避免忽略税负和非现金影响。</t>
        </is>
      </c>
    </row>
    <row r="24" ht="28" customHeight="1">
      <c r="B24" s="13" t="inlineStr">
        <is>
          <t>4. 2026-06-30现金头寸早于7月ADR发行和8月回购决定，不代表2026-10-26实时余额。</t>
        </is>
      </c>
    </row>
  </sheetData>
  <mergeCells count="6">
    <mergeCell ref="B24:G24"/>
    <mergeCell ref="B21:G21"/>
    <mergeCell ref="B22:G22"/>
    <mergeCell ref="B23:G23"/>
    <mergeCell ref="B2:H2"/>
    <mergeCell ref="B3:H3"/>
  </mergeCells>
  <pageMargins left="0.75" right="0.75" top="1" bottom="1" header="0.5" footer="0.5"/>
  <pageSetup fitToHeight="0" fitToWidth="1"/>
  <headerFooter>
    <oddHeader/>
    <oddFooter>&amp;CSK海力士2026Q2 | 信息截止2026-10-26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K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3" customWidth="1" min="5" max="5"/>
    <col width="16" customWidth="1" min="6" max="6"/>
    <col width="13" customWidth="1" min="7" max="7"/>
    <col width="16" customWidth="1" min="8" max="8"/>
    <col width="16" customWidth="1" min="9" max="9"/>
    <col width="13" customWidth="1" min="10" max="10"/>
    <col width="22" customWidth="1" min="11" max="11"/>
  </cols>
  <sheetData>
    <row r="2" ht="28" customHeight="1">
      <c r="B2" s="1" t="inlineStr">
        <is>
          <t>核心业绩：单季度与累计分开</t>
        </is>
      </c>
    </row>
    <row r="3" ht="32" customHeight="1">
      <c r="B3" s="2" t="inlineStr">
        <is>
          <t>金额：万亿韩元；比率和变动由公式计算。Q2/H1为6-K口径，Q1来自官方业绩材料。</t>
        </is>
      </c>
    </row>
    <row r="5" ht="32" customHeight="1">
      <c r="B5" s="3" t="inlineStr">
        <is>
          <t>指标</t>
        </is>
      </c>
      <c r="C5" s="3" t="inlineStr">
        <is>
          <t>2026Q2 单季</t>
        </is>
      </c>
      <c r="D5" s="3" t="inlineStr">
        <is>
          <t>2026Q1 单季</t>
        </is>
      </c>
      <c r="E5" s="3" t="inlineStr">
        <is>
          <t>环比</t>
        </is>
      </c>
      <c r="F5" s="3" t="inlineStr">
        <is>
          <t>2025Q2 单季</t>
        </is>
      </c>
      <c r="G5" s="3" t="inlineStr">
        <is>
          <t>同比</t>
        </is>
      </c>
      <c r="H5" s="3" t="inlineStr">
        <is>
          <t>2026H1 累计</t>
        </is>
      </c>
      <c r="I5" s="3" t="inlineStr">
        <is>
          <t>2025H1 累计</t>
        </is>
      </c>
      <c r="J5" s="3" t="inlineStr">
        <is>
          <t>同比</t>
        </is>
      </c>
      <c r="K5" s="3" t="inlineStr">
        <is>
          <t>来源</t>
        </is>
      </c>
    </row>
    <row r="6">
      <c r="B6" s="4" t="inlineStr">
        <is>
          <t>营业收入</t>
        </is>
      </c>
      <c r="C6" s="5" t="n">
        <v>79.318746</v>
      </c>
      <c r="D6" s="5" t="n">
        <v>52.576287</v>
      </c>
      <c r="E6" s="14">
        <f>(C6-D6)/D6</f>
        <v/>
      </c>
      <c r="F6" s="5" t="n">
        <v>22.231952</v>
      </c>
      <c r="G6" s="14">
        <f>(C6-F6)/F6</f>
        <v/>
      </c>
      <c r="H6" s="5" t="n">
        <v>131.895033</v>
      </c>
      <c r="I6" s="5" t="n">
        <v>39.871093</v>
      </c>
      <c r="J6" s="15">
        <f>(H6-I6)/I6</f>
        <v/>
      </c>
      <c r="K6" s="6" t="inlineStr">
        <is>
          <t>S3</t>
        </is>
      </c>
    </row>
    <row r="7">
      <c r="B7" s="8" t="inlineStr">
        <is>
          <t>营业成本</t>
        </is>
      </c>
      <c r="C7" s="11" t="n">
        <v>13.32739</v>
      </c>
      <c r="D7" s="11" t="n">
        <v>10.896873</v>
      </c>
      <c r="E7" s="9">
        <f>(C7-D7)/D7</f>
        <v/>
      </c>
      <c r="F7" s="11" t="n">
        <v>10.248628</v>
      </c>
      <c r="G7" s="9">
        <f>(C7-F7)/F7</f>
        <v/>
      </c>
      <c r="H7" s="11" t="n">
        <v>24.224263</v>
      </c>
      <c r="I7" s="11" t="n">
        <v>17.785778</v>
      </c>
      <c r="J7" s="16">
        <f>(H7-I7)/I7</f>
        <v/>
      </c>
      <c r="K7" s="10" t="inlineStr">
        <is>
          <t>S3</t>
        </is>
      </c>
    </row>
    <row r="8">
      <c r="B8" s="4" t="inlineStr">
        <is>
          <t>毛利润</t>
        </is>
      </c>
      <c r="C8" s="5" t="n">
        <v>65.991356</v>
      </c>
      <c r="D8" s="5" t="n">
        <v>41.679414</v>
      </c>
      <c r="E8" s="14">
        <f>(C8-D8)/D8</f>
        <v/>
      </c>
      <c r="F8" s="5" t="n">
        <v>11.983324</v>
      </c>
      <c r="G8" s="14">
        <f>(C8-F8)/F8</f>
        <v/>
      </c>
      <c r="H8" s="5" t="n">
        <v>107.67077</v>
      </c>
      <c r="I8" s="5" t="n">
        <v>22.085315</v>
      </c>
      <c r="J8" s="15">
        <f>(H8-I8)/I8</f>
        <v/>
      </c>
      <c r="K8" s="6" t="inlineStr">
        <is>
          <t>S3</t>
        </is>
      </c>
    </row>
    <row r="9">
      <c r="B9" s="8" t="inlineStr">
        <is>
          <t>销售及管理费用</t>
        </is>
      </c>
      <c r="C9" s="11" t="n">
        <v>5.448748</v>
      </c>
      <c r="D9" s="11" t="n">
        <v>4.069131</v>
      </c>
      <c r="E9" s="9">
        <f>(C9-D9)/D9</f>
        <v/>
      </c>
      <c r="F9" s="11" t="n">
        <v>2.770473</v>
      </c>
      <c r="G9" s="9">
        <f>(C9-F9)/F9</f>
        <v/>
      </c>
      <c r="H9" s="11" t="n">
        <v>9.517879000000001</v>
      </c>
      <c r="I9" s="11" t="n">
        <v>5.43196</v>
      </c>
      <c r="J9" s="16">
        <f>(H9-I9)/I9</f>
        <v/>
      </c>
      <c r="K9" s="10" t="inlineStr">
        <is>
          <t>S3</t>
        </is>
      </c>
    </row>
    <row r="10">
      <c r="B10" s="4" t="inlineStr">
        <is>
          <t>营业利润</t>
        </is>
      </c>
      <c r="C10" s="5" t="n">
        <v>60.542608</v>
      </c>
      <c r="D10" s="5" t="n">
        <v>37.610283</v>
      </c>
      <c r="E10" s="14">
        <f>(C10-D10)/D10</f>
        <v/>
      </c>
      <c r="F10" s="5" t="n">
        <v>9.212851000000001</v>
      </c>
      <c r="G10" s="14">
        <f>(C10-F10)/F10</f>
        <v/>
      </c>
      <c r="H10" s="5" t="n">
        <v>98.152891</v>
      </c>
      <c r="I10" s="5" t="n">
        <v>16.653355</v>
      </c>
      <c r="J10" s="15">
        <f>(H10-I10)/I10</f>
        <v/>
      </c>
      <c r="K10" s="6" t="inlineStr">
        <is>
          <t>S3</t>
        </is>
      </c>
    </row>
    <row r="11">
      <c r="B11" s="8" t="inlineStr">
        <is>
          <t>税前利润</t>
        </is>
      </c>
      <c r="C11" s="11" t="n">
        <v>122.708355</v>
      </c>
      <c r="D11" s="11" t="n">
        <v>51.616858</v>
      </c>
      <c r="E11" s="9">
        <f>(C11-D11)/D11</f>
        <v/>
      </c>
      <c r="F11" s="11" t="n">
        <v>8.722583</v>
      </c>
      <c r="G11" s="9">
        <f>(C11-F11)/F11</f>
        <v/>
      </c>
      <c r="H11" s="11" t="n">
        <v>174.325213</v>
      </c>
      <c r="I11" s="11" t="n">
        <v>18.021812</v>
      </c>
      <c r="J11" s="16">
        <f>(H11-I11)/I11</f>
        <v/>
      </c>
      <c r="K11" s="10" t="inlineStr">
        <is>
          <t>S3</t>
        </is>
      </c>
    </row>
    <row r="12">
      <c r="B12" s="4" t="inlineStr">
        <is>
          <t>所得税费用</t>
        </is>
      </c>
      <c r="C12" s="5" t="n">
        <v>28.785762</v>
      </c>
      <c r="D12" s="5" t="n">
        <v>11.270949</v>
      </c>
      <c r="E12" s="14">
        <f>(C12-D12)/D12</f>
        <v/>
      </c>
      <c r="F12" s="5" t="n">
        <v>1.726367</v>
      </c>
      <c r="G12" s="14">
        <f>(C12-F12)/F12</f>
        <v/>
      </c>
      <c r="H12" s="5" t="n">
        <v>40.056711</v>
      </c>
      <c r="I12" s="5" t="n">
        <v>2.917401</v>
      </c>
      <c r="J12" s="15">
        <f>(H12-I12)/I12</f>
        <v/>
      </c>
      <c r="K12" s="6" t="inlineStr">
        <is>
          <t>S3</t>
        </is>
      </c>
    </row>
    <row r="13">
      <c r="B13" s="8" t="inlineStr">
        <is>
          <t>净利润</t>
        </is>
      </c>
      <c r="C13" s="11" t="n">
        <v>93.92259300000001</v>
      </c>
      <c r="D13" s="11" t="n">
        <v>40.345909</v>
      </c>
      <c r="E13" s="9">
        <f>(C13-D13)/D13</f>
        <v/>
      </c>
      <c r="F13" s="11" t="n">
        <v>6.996216</v>
      </c>
      <c r="G13" s="9">
        <f>(C13-F13)/F13</f>
        <v/>
      </c>
      <c r="H13" s="11" t="n">
        <v>134.268502</v>
      </c>
      <c r="I13" s="11" t="n">
        <v>15.104411</v>
      </c>
      <c r="J13" s="16">
        <f>(H13-I13)/I13</f>
        <v/>
      </c>
      <c r="K13" s="10" t="inlineStr">
        <is>
          <t>S3</t>
        </is>
      </c>
    </row>
    <row r="14">
      <c r="B14" s="4" t="inlineStr">
        <is>
          <t>EBITDA</t>
        </is>
      </c>
      <c r="C14" s="5" t="n">
        <v>64.563</v>
      </c>
      <c r="D14" s="5" t="n">
        <v>41.336</v>
      </c>
      <c r="E14" s="14">
        <f>(C14-D14)/D14</f>
        <v/>
      </c>
      <c r="F14" s="5" t="n">
        <v>12.645</v>
      </c>
      <c r="G14" s="14">
        <f>(C14-F14)/F14</f>
        <v/>
      </c>
      <c r="H14" s="6" t="n"/>
      <c r="I14" s="6" t="n"/>
      <c r="J14" s="4" t="n"/>
      <c r="K14" s="6" t="inlineStr">
        <is>
          <t>S2</t>
        </is>
      </c>
    </row>
    <row r="16">
      <c r="B16" s="4" t="inlineStr">
        <is>
          <t>毛利率</t>
        </is>
      </c>
      <c r="C16" s="14">
        <f>C8/C$6</f>
        <v/>
      </c>
      <c r="D16" s="14">
        <f>D8/D$6</f>
        <v/>
      </c>
      <c r="E16" s="6" t="n"/>
      <c r="F16" s="14">
        <f>F8/F$6</f>
        <v/>
      </c>
      <c r="G16" s="6" t="n"/>
      <c r="H16" s="14">
        <f>H8/H$6</f>
        <v/>
      </c>
      <c r="I16" s="14">
        <f>I8/I$6</f>
        <v/>
      </c>
      <c r="J16" s="4" t="n"/>
      <c r="K16" s="6" t="inlineStr">
        <is>
          <t>公式；S2/S3</t>
        </is>
      </c>
    </row>
    <row r="17">
      <c r="B17" s="8" t="inlineStr">
        <is>
          <t>营业利润率</t>
        </is>
      </c>
      <c r="C17" s="9">
        <f>C10/C$6</f>
        <v/>
      </c>
      <c r="D17" s="9">
        <f>D10/D$6</f>
        <v/>
      </c>
      <c r="E17" s="10" t="n"/>
      <c r="F17" s="9">
        <f>F10/F$6</f>
        <v/>
      </c>
      <c r="G17" s="10" t="n"/>
      <c r="H17" s="9">
        <f>H10/H$6</f>
        <v/>
      </c>
      <c r="I17" s="9">
        <f>I10/I$6</f>
        <v/>
      </c>
      <c r="J17" s="8" t="n"/>
      <c r="K17" s="10" t="inlineStr">
        <is>
          <t>公式；S2/S3</t>
        </is>
      </c>
    </row>
    <row r="18">
      <c r="B18" s="4" t="inlineStr">
        <is>
          <t>净利率</t>
        </is>
      </c>
      <c r="C18" s="14">
        <f>C13/C$6</f>
        <v/>
      </c>
      <c r="D18" s="14">
        <f>D13/D$6</f>
        <v/>
      </c>
      <c r="E18" s="6" t="n"/>
      <c r="F18" s="14">
        <f>F13/F$6</f>
        <v/>
      </c>
      <c r="G18" s="6" t="n"/>
      <c r="H18" s="14">
        <f>H13/H$6</f>
        <v/>
      </c>
      <c r="I18" s="14">
        <f>I13/I$6</f>
        <v/>
      </c>
      <c r="J18" s="4" t="n"/>
      <c r="K18" s="6" t="inlineStr">
        <is>
          <t>公式；S2/S3</t>
        </is>
      </c>
    </row>
    <row r="19">
      <c r="B19" s="8" t="inlineStr">
        <is>
          <t>EBITDA利润率</t>
        </is>
      </c>
      <c r="C19" s="9">
        <f>C14/C$6</f>
        <v/>
      </c>
      <c r="D19" s="9">
        <f>D14/D$6</f>
        <v/>
      </c>
      <c r="E19" s="10" t="n"/>
      <c r="F19" s="9">
        <f>F14/F$6</f>
        <v/>
      </c>
      <c r="G19" s="10" t="n"/>
      <c r="H19" s="10" t="n"/>
      <c r="I19" s="10" t="n"/>
      <c r="J19" s="8" t="n"/>
      <c r="K19" s="10" t="inlineStr">
        <is>
          <t>公式；S2/S3</t>
        </is>
      </c>
    </row>
  </sheetData>
  <mergeCells count="2">
    <mergeCell ref="B3:K3"/>
    <mergeCell ref="B2:K2"/>
  </mergeCells>
  <conditionalFormatting sqref="E6:E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  <headerFooter>
    <oddHeader/>
    <oddFooter>&amp;CSK海力士2026Q2 | 信息截止2026-10-26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30" customWidth="1" min="8" max="8"/>
    <col hidden="1" width="13" customWidth="1" min="9" max="9"/>
  </cols>
  <sheetData>
    <row r="2" ht="28" customHeight="1">
      <c r="B2" s="1" t="inlineStr">
        <is>
          <t>现金流与资产负债</t>
        </is>
      </c>
    </row>
    <row r="3" ht="32" customHeight="1">
      <c r="B3" s="2" t="inlineStr">
        <is>
          <t>流量与存量分开；单季现金流为初步值，H1为6-K半年报口径。金额：万亿韩元。</t>
        </is>
      </c>
    </row>
    <row r="5" ht="32" customHeight="1">
      <c r="B5" s="3" t="inlineStr">
        <is>
          <t>指标</t>
        </is>
      </c>
      <c r="C5" s="3" t="inlineStr">
        <is>
          <t>2026Q2 初步</t>
        </is>
      </c>
      <c r="D5" s="3" t="inlineStr">
        <is>
          <t>2026Q1 初步</t>
        </is>
      </c>
      <c r="E5" s="3" t="inlineStr">
        <is>
          <t>2025Q2 初步</t>
        </is>
      </c>
      <c r="F5" s="3" t="inlineStr">
        <is>
          <t>2026H1 报告</t>
        </is>
      </c>
      <c r="G5" s="3" t="inlineStr">
        <is>
          <t>2025H1 报告</t>
        </is>
      </c>
      <c r="H5" s="3" t="inlineStr">
        <is>
          <t>来源/说明</t>
        </is>
      </c>
    </row>
    <row r="6">
      <c r="B6" s="4" t="inlineStr">
        <is>
          <t>经营活动现金流</t>
        </is>
      </c>
      <c r="C6" s="5" t="n">
        <v>65.70999999999999</v>
      </c>
      <c r="D6" s="5" t="n">
        <v>26.43</v>
      </c>
      <c r="E6" s="5" t="n">
        <v>9.208</v>
      </c>
      <c r="F6" s="5" t="n">
        <v>91.742501</v>
      </c>
      <c r="G6" s="5" t="n">
        <v>18.189841</v>
      </c>
      <c r="H6" s="6" t="inlineStr">
        <is>
          <t>S2/S3</t>
        </is>
      </c>
      <c r="I6" s="7" t="n">
        <v>60.542608</v>
      </c>
    </row>
    <row r="7">
      <c r="B7" s="8" t="inlineStr">
        <is>
          <t>购建固定资产现金支出</t>
        </is>
      </c>
      <c r="C7" s="11" t="n">
        <v>10.671</v>
      </c>
      <c r="D7" s="11" t="n">
        <v>7.657</v>
      </c>
      <c r="E7" s="11" t="n">
        <v>4.332</v>
      </c>
      <c r="F7" s="11" t="n">
        <v>18.328836</v>
      </c>
      <c r="G7" s="11" t="n">
        <v>10.615739</v>
      </c>
      <c r="H7" s="10" t="inlineStr">
        <is>
          <t>S2/S3</t>
        </is>
      </c>
      <c r="I7" s="7" t="n">
        <v>37.610283</v>
      </c>
    </row>
    <row r="8">
      <c r="B8" s="4" t="inlineStr">
        <is>
          <t>投资活动现金流</t>
        </is>
      </c>
      <c r="C8" s="5" t="n">
        <v>-28.747</v>
      </c>
      <c r="D8" s="5" t="n">
        <v>-7.228</v>
      </c>
      <c r="E8" s="5" t="n">
        <v>-4.329</v>
      </c>
      <c r="F8" s="5" t="n">
        <v>-73.023629</v>
      </c>
      <c r="G8" s="5" t="n">
        <v>-18.669943</v>
      </c>
      <c r="H8" s="6" t="inlineStr">
        <is>
          <t>S2/S3</t>
        </is>
      </c>
      <c r="I8" s="7" t="n">
        <v>9.212851000000001</v>
      </c>
    </row>
    <row r="9">
      <c r="B9" s="8" t="inlineStr">
        <is>
          <t>筹资活动现金流</t>
        </is>
      </c>
      <c r="C9" s="11" t="n">
        <v>-4.666</v>
      </c>
      <c r="D9" s="11" t="n">
        <v>-2.951</v>
      </c>
      <c r="E9" s="11" t="n">
        <v>-1.78</v>
      </c>
      <c r="F9" s="11" t="n">
        <v>-7.617773</v>
      </c>
      <c r="G9" s="11" t="n">
        <v>-1.270896</v>
      </c>
      <c r="H9" s="10" t="inlineStr">
        <is>
          <t>S2/S3</t>
        </is>
      </c>
      <c r="I9" s="7" t="n">
        <v>98.152891</v>
      </c>
    </row>
    <row r="10">
      <c r="B10" s="4" t="inlineStr">
        <is>
          <t>营运资本及其他调整</t>
        </is>
      </c>
      <c r="C10" s="5" t="n">
        <v>-32.243</v>
      </c>
      <c r="D10" s="5" t="n">
        <v>-17.645</v>
      </c>
      <c r="E10" s="5" t="n">
        <v>-1.243</v>
      </c>
      <c r="F10" s="6" t="n"/>
      <c r="G10" s="6" t="n"/>
      <c r="H10" s="6" t="inlineStr">
        <is>
          <t>S2</t>
        </is>
      </c>
      <c r="I10" s="7" t="n">
        <v>16.653355</v>
      </c>
    </row>
    <row r="11">
      <c r="B11" s="8" t="inlineStr">
        <is>
          <t>收到的股利</t>
        </is>
      </c>
      <c r="C11" s="10" t="n"/>
      <c r="D11" s="10" t="n"/>
      <c r="E11" s="10" t="n"/>
      <c r="F11" s="11" t="n">
        <v>13.983648</v>
      </c>
      <c r="G11" s="11" t="n">
        <v>0.025932</v>
      </c>
      <c r="H11" s="10" t="inlineStr">
        <is>
          <t>S3</t>
        </is>
      </c>
    </row>
    <row r="12">
      <c r="B12" s="4" t="inlineStr">
        <is>
          <t>自由现金流代理值</t>
        </is>
      </c>
      <c r="C12" s="5">
        <f>C6-C7</f>
        <v/>
      </c>
      <c r="D12" s="5">
        <f>D6-D7</f>
        <v/>
      </c>
      <c r="E12" s="5">
        <f>E6-E7</f>
        <v/>
      </c>
      <c r="F12" s="5">
        <f>F6-F7</f>
        <v/>
      </c>
      <c r="G12" s="5">
        <f>G6-G7</f>
        <v/>
      </c>
      <c r="H12" s="6" t="inlineStr">
        <is>
          <t>公式；经营现金流－固定资产支出</t>
        </is>
      </c>
    </row>
    <row r="13">
      <c r="B13" s="8" t="inlineStr">
        <is>
          <t>剔除收到股利后的经营现金流</t>
        </is>
      </c>
      <c r="C13" s="10" t="n"/>
      <c r="D13" s="10" t="n"/>
      <c r="E13" s="10" t="n"/>
      <c r="F13" s="11">
        <f>F6-F11</f>
        <v/>
      </c>
      <c r="G13" s="11">
        <f>G6-G11</f>
        <v/>
      </c>
      <c r="H13" s="10" t="inlineStr">
        <is>
          <t>公式；分析口径，非公司指标</t>
        </is>
      </c>
    </row>
    <row r="14">
      <c r="B14" s="4" t="inlineStr">
        <is>
          <t>剔除股利后的自由现金流代理值</t>
        </is>
      </c>
      <c r="C14" s="6" t="n"/>
      <c r="D14" s="6" t="n"/>
      <c r="E14" s="6" t="n"/>
      <c r="F14" s="5">
        <f>F13-F7</f>
        <v/>
      </c>
      <c r="G14" s="5">
        <f>G13-G7</f>
        <v/>
      </c>
      <c r="H14" s="6" t="inlineStr">
        <is>
          <t>公式；分析口径，非公司指标</t>
        </is>
      </c>
    </row>
    <row r="15">
      <c r="B15" s="8" t="inlineStr">
        <is>
          <t>经营现金流/营业利润</t>
        </is>
      </c>
      <c r="C15" s="9">
        <f>C6/$I$6</f>
        <v/>
      </c>
      <c r="D15" s="9">
        <f>D6/$I$7</f>
        <v/>
      </c>
      <c r="E15" s="9">
        <f>E6/$I$8</f>
        <v/>
      </c>
      <c r="F15" s="9">
        <f>F6/$I$9</f>
        <v/>
      </c>
      <c r="G15" s="9">
        <f>G6/$I$10</f>
        <v/>
      </c>
      <c r="H15" s="10" t="inlineStr">
        <is>
          <t>公式；现金转化率</t>
        </is>
      </c>
    </row>
    <row r="18" ht="32" customHeight="1">
      <c r="B18" s="3" t="inlineStr">
        <is>
          <t>期末指标</t>
        </is>
      </c>
      <c r="C18" s="3" t="inlineStr">
        <is>
          <t>2026-06-30</t>
        </is>
      </c>
      <c r="D18" s="3" t="inlineStr">
        <is>
          <t>2026-03-31</t>
        </is>
      </c>
      <c r="E18" s="3" t="inlineStr">
        <is>
          <t>2025-12-31</t>
        </is>
      </c>
      <c r="F18" s="3" t="inlineStr"/>
      <c r="G18" s="3" t="inlineStr"/>
      <c r="H18" s="3" t="inlineStr">
        <is>
          <t>来源</t>
        </is>
      </c>
    </row>
    <row r="19">
      <c r="B19" s="8" t="inlineStr">
        <is>
          <t>应收账款</t>
        </is>
      </c>
      <c r="C19" s="11" t="n">
        <v>47.821395</v>
      </c>
      <c r="D19" s="11" t="n">
        <v>33.808</v>
      </c>
      <c r="E19" s="11" t="n">
        <v>18.199078</v>
      </c>
      <c r="F19" s="10" t="n"/>
      <c r="G19" s="10" t="n"/>
      <c r="H19" s="10" t="inlineStr">
        <is>
          <t>S2/S3</t>
        </is>
      </c>
    </row>
    <row r="20">
      <c r="B20" s="4" t="inlineStr">
        <is>
          <t>存货</t>
        </is>
      </c>
      <c r="C20" s="5" t="n">
        <v>17.985706</v>
      </c>
      <c r="D20" s="5" t="n">
        <v>15.974</v>
      </c>
      <c r="E20" s="5" t="n">
        <v>14.28939</v>
      </c>
      <c r="F20" s="6" t="n"/>
      <c r="G20" s="6" t="n"/>
      <c r="H20" s="6" t="inlineStr">
        <is>
          <t>S2/S3</t>
        </is>
      </c>
    </row>
    <row r="21">
      <c r="B21" s="8" t="inlineStr">
        <is>
          <t>广义现金（公司定义）</t>
        </is>
      </c>
      <c r="C21" s="11" t="n">
        <v>87.958</v>
      </c>
      <c r="D21" s="11" t="n">
        <v>54.33</v>
      </c>
      <c r="E21" s="11" t="n">
        <v>34.942</v>
      </c>
      <c r="F21" s="10" t="n"/>
      <c r="G21" s="10" t="n"/>
      <c r="H21" s="10" t="inlineStr">
        <is>
          <t>S2</t>
        </is>
      </c>
    </row>
    <row r="22">
      <c r="B22" s="4" t="inlineStr">
        <is>
          <t>有息负债</t>
        </is>
      </c>
      <c r="C22" s="5" t="n">
        <v>18.587</v>
      </c>
      <c r="D22" s="5" t="n">
        <v>19.318</v>
      </c>
      <c r="E22" s="5" t="n">
        <v>22.248</v>
      </c>
      <c r="F22" s="6" t="n"/>
      <c r="G22" s="6" t="n"/>
      <c r="H22" s="6" t="inlineStr">
        <is>
          <t>S2</t>
        </is>
      </c>
    </row>
    <row r="23">
      <c r="B23" s="8" t="inlineStr">
        <is>
          <t>净现金（广义现金－有息负债）</t>
        </is>
      </c>
      <c r="C23" s="11">
        <f>C21-C22</f>
        <v/>
      </c>
      <c r="D23" s="11">
        <f>D21-D22</f>
        <v/>
      </c>
      <c r="E23" s="11">
        <f>E21-E22</f>
        <v/>
      </c>
      <c r="F23" s="10" t="n"/>
      <c r="G23" s="10" t="n"/>
      <c r="H23" s="10" t="inlineStr">
        <is>
          <t>公式；公司定义</t>
        </is>
      </c>
    </row>
    <row r="26">
      <c r="B26" s="17" t="inlineStr">
        <is>
          <t>提示：2026-06-30余额早于7月ADR发行及8月40万亿韩元回购决定；不能视为截止日实时现金。H1经营现金流含13.984万亿韩元收到股利。</t>
        </is>
      </c>
    </row>
    <row r="27"/>
  </sheetData>
  <mergeCells count="3">
    <mergeCell ref="B3:H3"/>
    <mergeCell ref="B26:H27"/>
    <mergeCell ref="B2:H2"/>
  </mergeCells>
  <pageMargins left="0.75" right="0.75" top="1" bottom="1" header="0.5" footer="0.5"/>
  <pageSetup fitToHeight="0" fitToWidth="1"/>
  <headerFooter>
    <oddHeader/>
    <oddFooter>&amp;CSK海力士2026Q2 | 信息截止2026-10-26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72" customWidth="1" min="4" max="4"/>
    <col width="16" customWidth="1" min="5" max="5"/>
  </cols>
  <sheetData>
    <row r="2" ht="28" customHeight="1">
      <c r="B2" s="1" t="inlineStr">
        <is>
          <t>经营指标与后续指引</t>
        </is>
      </c>
    </row>
    <row r="3" ht="32" customHeight="1">
      <c r="B3" s="2" t="inlineStr">
        <is>
          <t>价格/出货为2026Q2环比；指引均为公司在2026-07-29业绩发布时给出的方向，不是实际完成值。</t>
        </is>
      </c>
    </row>
    <row r="5" ht="32" customHeight="1">
      <c r="B5" s="3" t="inlineStr">
        <is>
          <t>类别</t>
        </is>
      </c>
      <c r="C5" s="3" t="inlineStr">
        <is>
          <t>指标</t>
        </is>
      </c>
      <c r="D5" s="3" t="inlineStr">
        <is>
          <t>披露值</t>
        </is>
      </c>
      <c r="E5" s="3" t="inlineStr">
        <is>
          <t>解读/备注</t>
        </is>
      </c>
      <c r="F5" s="3" t="inlineStr">
        <is>
          <t>来源</t>
        </is>
      </c>
    </row>
    <row r="6" ht="32" customHeight="1">
      <c r="B6" s="4" t="inlineStr">
        <is>
          <t>DRAM</t>
        </is>
      </c>
      <c r="C6" s="6" t="inlineStr">
        <is>
          <t>Bit出货量</t>
        </is>
      </c>
      <c r="D6" s="6" t="inlineStr">
        <is>
          <t>高个位数增长</t>
        </is>
      </c>
      <c r="E6" s="6" t="inlineStr">
        <is>
          <t>HBM3E和AI服务器DRAM拉动，符合此前指引</t>
        </is>
      </c>
      <c r="F6" s="6" t="inlineStr">
        <is>
          <t>S2/S4</t>
        </is>
      </c>
    </row>
    <row r="7" ht="32" customHeight="1">
      <c r="B7" s="8" t="inlineStr">
        <is>
          <t>DRAM</t>
        </is>
      </c>
      <c r="C7" s="10" t="inlineStr">
        <is>
          <t>平均售价ASP</t>
        </is>
      </c>
      <c r="D7" s="10" t="inlineStr">
        <is>
          <t>约+30%</t>
        </is>
      </c>
      <c r="E7" s="10" t="inlineStr">
        <is>
          <t>通用DRAM价格强势；部分高价值产品推迟至下半年影响混合ASP</t>
        </is>
      </c>
      <c r="F7" s="10" t="inlineStr">
        <is>
          <t>S2/S4</t>
        </is>
      </c>
    </row>
    <row r="8" ht="32" customHeight="1">
      <c r="B8" s="4" t="inlineStr">
        <is>
          <t>NAND</t>
        </is>
      </c>
      <c r="C8" s="6" t="inlineStr">
        <is>
          <t>Bit出货量</t>
        </is>
      </c>
      <c r="D8" s="6" t="inlineStr">
        <is>
          <t>中十几位数增长</t>
        </is>
      </c>
      <c r="E8" s="6" t="inlineStr">
        <is>
          <t>Q1低基数及eSSD销售扩大，符合此前指引</t>
        </is>
      </c>
      <c r="F8" s="6" t="inlineStr">
        <is>
          <t>S2/S4</t>
        </is>
      </c>
    </row>
    <row r="9" ht="32" customHeight="1">
      <c r="B9" s="8" t="inlineStr">
        <is>
          <t>NAND</t>
        </is>
      </c>
      <c r="C9" s="10" t="inlineStr">
        <is>
          <t>平均售价ASP</t>
        </is>
      </c>
      <c r="D9" s="10" t="inlineStr">
        <is>
          <t>中50%区间增长</t>
        </is>
      </c>
      <c r="E9" s="10" t="inlineStr">
        <is>
          <t>各产品价格均上涨</t>
        </is>
      </c>
      <c r="F9" s="10" t="inlineStr">
        <is>
          <t>S2/S4</t>
        </is>
      </c>
    </row>
    <row r="10" ht="32" customHeight="1">
      <c r="B10" s="4" t="inlineStr">
        <is>
          <t>NAND</t>
        </is>
      </c>
      <c r="C10" s="6" t="inlineStr">
        <is>
          <t>企业级SSD收入</t>
        </is>
      </c>
      <c r="D10" s="6" t="inlineStr">
        <is>
          <t>环比约2倍</t>
        </is>
      </c>
      <c r="E10" s="6" t="inlineStr">
        <is>
          <t>AI数据中心存储需求改善</t>
        </is>
      </c>
      <c r="F10" s="6" t="inlineStr">
        <is>
          <t>S4</t>
        </is>
      </c>
    </row>
    <row r="11" ht="32" customHeight="1">
      <c r="B11" s="8" t="inlineStr">
        <is>
          <t>Solidigm</t>
        </is>
      </c>
      <c r="C11" s="10" t="inlineStr">
        <is>
          <t>30TB及以上eSSD收入</t>
        </is>
      </c>
      <c r="D11" s="10" t="inlineStr">
        <is>
          <t>环比超过3倍</t>
        </is>
      </c>
      <c r="E11" s="10" t="inlineStr">
        <is>
          <t>高容量产品增长</t>
        </is>
      </c>
      <c r="F11" s="10" t="inlineStr">
        <is>
          <t>S4</t>
        </is>
      </c>
    </row>
    <row r="12" ht="32" customHeight="1">
      <c r="B12" s="4" t="inlineStr">
        <is>
          <t>产品</t>
        </is>
      </c>
      <c r="C12" s="6" t="inlineStr">
        <is>
          <t>HBM4</t>
        </is>
      </c>
      <c r="D12" s="6" t="inlineStr">
        <is>
          <t>Q2开始量产出货</t>
        </is>
      </c>
      <c r="E12" s="6" t="inlineStr">
        <is>
          <t>下半年全面爬坡；管理层称良率和质量接近成熟HBM3E</t>
        </is>
      </c>
      <c r="F12" s="6" t="inlineStr">
        <is>
          <t>S1/S2/S4</t>
        </is>
      </c>
    </row>
    <row r="13" ht="32" customHeight="1">
      <c r="B13" s="8" t="inlineStr">
        <is>
          <t>产品</t>
        </is>
      </c>
      <c r="C13" s="10" t="inlineStr">
        <is>
          <t>HBM4E</t>
        </is>
      </c>
      <c r="D13" s="10" t="inlineStr">
        <is>
          <t>H1已送样</t>
        </is>
      </c>
      <c r="E13" s="10" t="inlineStr">
        <is>
          <t>目标2027年开始量产</t>
        </is>
      </c>
      <c r="F13" s="10" t="inlineStr">
        <is>
          <t>S2/S4</t>
        </is>
      </c>
    </row>
    <row r="14" ht="32" customHeight="1">
      <c r="B14" s="4" t="inlineStr">
        <is>
          <t>产品</t>
        </is>
      </c>
      <c r="C14" s="6" t="inlineStr">
        <is>
          <t>321层NAND</t>
        </is>
      </c>
      <c r="D14" s="6" t="inlineStr">
        <is>
          <t>年末占韩国国内产能约50%目标</t>
        </is>
      </c>
      <c r="E14" s="6" t="inlineStr">
        <is>
          <t>先进制程迁移</t>
        </is>
      </c>
      <c r="F14" s="6" t="inlineStr">
        <is>
          <t>S1/S2</t>
        </is>
      </c>
    </row>
    <row r="15" ht="32" customHeight="1">
      <c r="B15" s="8" t="inlineStr">
        <is>
          <t>2026Q3指引</t>
        </is>
      </c>
      <c r="C15" s="10" t="inlineStr">
        <is>
          <t>DRAM Bit出货量</t>
        </is>
      </c>
      <c r="D15" s="10" t="inlineStr">
        <is>
          <t>环比约+10%</t>
        </is>
      </c>
      <c r="E15" s="10" t="inlineStr">
        <is>
          <t>以服务器产品为中心</t>
        </is>
      </c>
      <c r="F15" s="10" t="inlineStr">
        <is>
          <t>S2/S4</t>
        </is>
      </c>
    </row>
    <row r="16" ht="32" customHeight="1">
      <c r="B16" s="4" t="inlineStr">
        <is>
          <t>2026Q3指引</t>
        </is>
      </c>
      <c r="C16" s="6" t="inlineStr">
        <is>
          <t>NAND Bit出货量</t>
        </is>
      </c>
      <c r="D16" s="6" t="inlineStr">
        <is>
          <t>环比低个位数增长</t>
        </is>
      </c>
      <c r="E16" s="6" t="inlineStr">
        <is>
          <t>含Solidigm；增加321层产品和SSD销售</t>
        </is>
      </c>
      <c r="F16" s="6" t="inlineStr">
        <is>
          <t>S2/S4</t>
        </is>
      </c>
    </row>
    <row r="17" ht="32" customHeight="1">
      <c r="B17" s="8" t="inlineStr">
        <is>
          <t>2026全年指引</t>
        </is>
      </c>
      <c r="C17" s="10" t="inlineStr">
        <is>
          <t>DRAM需求Bit增长</t>
        </is>
      </c>
      <c r="D17" s="10" t="inlineStr">
        <is>
          <t>同比中20%区间</t>
        </is>
      </c>
      <c r="E17" s="10" t="inlineStr">
        <is>
          <t>供给受限背景下的行业需求判断</t>
        </is>
      </c>
      <c r="F17" s="10" t="inlineStr">
        <is>
          <t>S2</t>
        </is>
      </c>
    </row>
    <row r="18" ht="32" customHeight="1">
      <c r="B18" s="4" t="inlineStr">
        <is>
          <t>2026全年指引</t>
        </is>
      </c>
      <c r="C18" s="6" t="inlineStr">
        <is>
          <t>NAND需求Bit增长</t>
        </is>
      </c>
      <c r="D18" s="6" t="inlineStr">
        <is>
          <t>同比高十几位数</t>
        </is>
      </c>
      <c r="E18" s="6" t="inlineStr">
        <is>
          <t>供给受限背景下的行业需求判断</t>
        </is>
      </c>
      <c r="F18" s="6" t="inlineStr">
        <is>
          <t>S2</t>
        </is>
      </c>
    </row>
    <row r="19" ht="32" customHeight="1">
      <c r="B19" s="8" t="inlineStr">
        <is>
          <t>2026全年指引</t>
        </is>
      </c>
      <c r="C19" s="10" t="inlineStr">
        <is>
          <t>资本开支</t>
        </is>
      </c>
      <c r="D19" s="10" t="inlineStr">
        <is>
          <t>40万亿韩元区间偏高端</t>
        </is>
      </c>
      <c r="E19" s="10" t="inlineStr">
        <is>
          <t>M15X提前量产、Yongin Fab1扩产；实际支出需以后续报告验证</t>
        </is>
      </c>
      <c r="F19" s="10" t="inlineStr">
        <is>
          <t>S2/S4</t>
        </is>
      </c>
    </row>
    <row r="20" ht="32" customHeight="1">
      <c r="B20" s="4" t="inlineStr">
        <is>
          <t>长期合同</t>
        </is>
      </c>
      <c r="C20" s="6" t="inlineStr">
        <is>
          <t>LTA</t>
        </is>
      </c>
      <c r="D20" s="6" t="inlineStr">
        <is>
          <t>约10家客户已达成</t>
        </is>
      </c>
      <c r="E20" s="6" t="inlineStr">
        <is>
          <t>通常约5年；含定价机制与押金等履约安排，未披露收入覆盖率</t>
        </is>
      </c>
      <c r="F20" s="6" t="inlineStr">
        <is>
          <t>S2/S4/S5</t>
        </is>
      </c>
    </row>
  </sheetData>
  <mergeCells count="2">
    <mergeCell ref="B3:E3"/>
    <mergeCell ref="B2:E2"/>
  </mergeCells>
  <pageMargins left="0.75" right="0.75" top="1" bottom="1" header="0.5" footer="0.5"/>
  <pageSetup fitToHeight="0" fitToWidth="1"/>
  <headerFooter>
    <oddHeader/>
    <oddFooter>&amp;CSK海力士2026Q2 | 信息截止2026-10-26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42" customWidth="1" min="7" max="7"/>
  </cols>
  <sheetData>
    <row r="2" ht="28" customHeight="1">
      <c r="B2" s="1" t="inlineStr">
        <is>
          <t>实际业绩与财报公布前预期</t>
        </is>
      </c>
    </row>
    <row r="3" ht="32" customHeight="1">
      <c r="B3" s="2" t="inlineStr">
        <is>
          <t>LSEG SmartEstimate由Reuters在业绩发布报道中列示；属于发布前一致预期，不以财报后观点替代。金额：万亿韩元。</t>
        </is>
      </c>
    </row>
    <row r="5" ht="32" customHeight="1">
      <c r="B5" s="3" t="inlineStr">
        <is>
          <t>指标</t>
        </is>
      </c>
      <c r="C5" s="3" t="inlineStr">
        <is>
          <t>2026Q2实际</t>
        </is>
      </c>
      <c r="D5" s="3" t="inlineStr">
        <is>
          <t>事前一致预期</t>
        </is>
      </c>
      <c r="E5" s="3" t="inlineStr">
        <is>
          <t>差额</t>
        </is>
      </c>
      <c r="F5" s="3" t="inlineStr">
        <is>
          <t>偏离幅度</t>
        </is>
      </c>
      <c r="G5" s="3" t="inlineStr">
        <is>
          <t>来源/说明</t>
        </is>
      </c>
    </row>
    <row r="6">
      <c r="B6" s="4" t="inlineStr">
        <is>
          <t>营业收入</t>
        </is>
      </c>
      <c r="C6" s="5" t="n">
        <v>79.318746</v>
      </c>
      <c r="D6" s="5" t="n">
        <v>84</v>
      </c>
      <c r="E6" s="5">
        <f>C6-D6</f>
        <v/>
      </c>
      <c r="F6" s="14">
        <f>E6/D6</f>
        <v/>
      </c>
      <c r="G6" s="6" t="inlineStr">
        <is>
          <t>S5；LSEG SmartEstimate；S8交叉核验</t>
        </is>
      </c>
    </row>
    <row r="7">
      <c r="B7" s="8" t="inlineStr">
        <is>
          <t>营业利润</t>
        </is>
      </c>
      <c r="C7" s="11" t="n">
        <v>60.542608</v>
      </c>
      <c r="D7" s="11" t="n">
        <v>64</v>
      </c>
      <c r="E7" s="11">
        <f>C7-D7</f>
        <v/>
      </c>
      <c r="F7" s="9">
        <f>E7/D7</f>
        <v/>
      </c>
      <c r="G7" s="10" t="inlineStr">
        <is>
          <t>S5；LSEG SmartEstimate；S8交叉核验</t>
        </is>
      </c>
    </row>
    <row r="8">
      <c r="B8" s="4" t="n"/>
      <c r="C8" s="6" t="n"/>
      <c r="D8" s="6" t="n"/>
      <c r="E8" s="6" t="n"/>
      <c r="F8" s="6" t="n"/>
      <c r="G8" s="6" t="n"/>
    </row>
    <row r="9">
      <c r="B9" s="8" t="inlineStr">
        <is>
          <t>净利润</t>
        </is>
      </c>
      <c r="C9" s="11" t="n">
        <v>93.92259300000001</v>
      </c>
      <c r="D9" s="10" t="n"/>
      <c r="E9" s="10" t="n"/>
      <c r="F9" s="10" t="n"/>
      <c r="G9" s="10" t="inlineStr">
        <is>
          <t>未找到同口径、可靠的发布前净利润一致预期，不作比较</t>
        </is>
      </c>
    </row>
    <row r="12">
      <c r="B12" s="18" t="inlineStr">
        <is>
          <t>注意：预期值仅保留报道披露的整数位，偏离幅度因此也是基于该公开精度计算。</t>
        </is>
      </c>
    </row>
  </sheetData>
  <mergeCells count="3">
    <mergeCell ref="B3:G3"/>
    <mergeCell ref="B2:G2"/>
    <mergeCell ref="B12:G12"/>
  </mergeCells>
  <pageMargins left="0.75" right="0.75" top="1" bottom="1" header="0.5" footer="0.5"/>
  <pageSetup fitToHeight="0" fitToWidth="1"/>
  <headerFooter>
    <oddHeader/>
    <oddFooter>&amp;CSK海力士2026Q2 | 信息截止2026-10-26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68" customWidth="1" min="4" max="4"/>
    <col width="18" customWidth="1" min="5" max="5"/>
    <col hidden="1" width="13" customWidth="1" min="6" max="6"/>
  </cols>
  <sheetData>
    <row r="2" ht="28" customHeight="1">
      <c r="B2" s="1" t="inlineStr">
        <is>
          <t>经营结果与非经营因素桥接</t>
        </is>
      </c>
    </row>
    <row r="3" ht="32" customHeight="1">
      <c r="B3" s="2" t="inlineStr">
        <is>
          <t>2026Q2单季，K-IFRS；金额：万亿韩元。投资资产收益为税前，不直接构造调整后净利润。</t>
        </is>
      </c>
    </row>
    <row r="5" ht="32" customHeight="1">
      <c r="B5" s="3" t="inlineStr">
        <is>
          <t>项目</t>
        </is>
      </c>
      <c r="C5" s="3" t="inlineStr">
        <is>
          <t>金额</t>
        </is>
      </c>
      <c r="D5" s="3" t="inlineStr">
        <is>
          <t>性质/计算</t>
        </is>
      </c>
      <c r="E5" s="3" t="inlineStr">
        <is>
          <t>来源</t>
        </is>
      </c>
    </row>
    <row r="6">
      <c r="B6" s="4" t="inlineStr">
        <is>
          <t>营业利润</t>
        </is>
      </c>
      <c r="C6" s="5" t="n">
        <v>60.542608</v>
      </c>
      <c r="D6" s="6" t="inlineStr">
        <is>
          <t>主营业务经营结果</t>
        </is>
      </c>
      <c r="E6" s="6" t="inlineStr">
        <is>
          <t>S3</t>
        </is>
      </c>
      <c r="F6" s="7" t="n">
        <v>79.318746</v>
      </c>
    </row>
    <row r="7">
      <c r="B7" s="8" t="inlineStr">
        <is>
          <t>净金融收益</t>
        </is>
      </c>
      <c r="C7" s="11" t="n">
        <v>62.217911</v>
      </c>
      <c r="D7" s="10" t="inlineStr">
        <is>
          <t>非经营；金融收益－金融费用</t>
        </is>
      </c>
      <c r="E7" s="10" t="inlineStr">
        <is>
          <t>S3</t>
        </is>
      </c>
    </row>
    <row r="8">
      <c r="B8" s="4" t="inlineStr">
        <is>
          <t>其中：金融工具估值收益</t>
        </is>
      </c>
      <c r="C8" s="5" t="n">
        <v>53.237425</v>
      </c>
      <c r="D8" s="6" t="inlineStr">
        <is>
          <t>非经营、波动性高；可能含非现金估值</t>
        </is>
      </c>
      <c r="E8" s="6" t="inlineStr">
        <is>
          <t>S3</t>
        </is>
      </c>
    </row>
    <row r="9">
      <c r="B9" s="8" t="inlineStr">
        <is>
          <t>其中：股利收入</t>
        </is>
      </c>
      <c r="C9" s="11" t="n">
        <v>10.027945</v>
      </c>
      <c r="D9" s="10" t="inlineStr">
        <is>
          <t>非经营；与估值收益合计约63.27</t>
        </is>
      </c>
      <c r="E9" s="10" t="inlineStr">
        <is>
          <t>S3</t>
        </is>
      </c>
    </row>
    <row r="10">
      <c r="B10" s="4" t="inlineStr">
        <is>
          <t>其中：净汇兑收益</t>
        </is>
      </c>
      <c r="C10" s="5" t="n">
        <v>1.147209</v>
      </c>
      <c r="D10" s="6" t="inlineStr">
        <is>
          <t>非经营；汇兑收益－汇兑损失</t>
        </is>
      </c>
      <c r="E10" s="6" t="inlineStr">
        <is>
          <t>S3</t>
        </is>
      </c>
    </row>
    <row r="11">
      <c r="B11" s="8" t="inlineStr">
        <is>
          <t>联营企业及其他净额</t>
        </is>
      </c>
      <c r="C11" s="11" t="n">
        <v>-0.052164</v>
      </c>
      <c r="D11" s="10" t="inlineStr">
        <is>
          <t>税前利润－营业利润－净金融收益</t>
        </is>
      </c>
      <c r="E11" s="10" t="inlineStr">
        <is>
          <t>S3；公式</t>
        </is>
      </c>
    </row>
    <row r="12">
      <c r="B12" s="4" t="inlineStr">
        <is>
          <t>税前利润</t>
        </is>
      </c>
      <c r="C12" s="5" t="n">
        <v>122.708355</v>
      </c>
      <c r="D12" s="6" t="inlineStr">
        <is>
          <t>营业利润＋非经营净收益</t>
        </is>
      </c>
      <c r="E12" s="6" t="inlineStr">
        <is>
          <t>S3</t>
        </is>
      </c>
    </row>
    <row r="13">
      <c r="B13" s="8" t="inlineStr">
        <is>
          <t>所得税费用</t>
        </is>
      </c>
      <c r="C13" s="11" t="n">
        <v>28.785762</v>
      </c>
      <c r="D13" s="10" t="inlineStr">
        <is>
          <t>包含非经营收益相关税负影响</t>
        </is>
      </c>
      <c r="E13" s="10" t="inlineStr">
        <is>
          <t>S3</t>
        </is>
      </c>
    </row>
    <row r="14">
      <c r="B14" s="4" t="inlineStr">
        <is>
          <t>净利润</t>
        </is>
      </c>
      <c r="C14" s="5" t="n">
        <v>93.92259300000001</v>
      </c>
      <c r="D14" s="6" t="inlineStr">
        <is>
          <t>不能把118%净利率视为主营经营利润率</t>
        </is>
      </c>
      <c r="E14" s="6" t="inlineStr">
        <is>
          <t>S3</t>
        </is>
      </c>
    </row>
    <row r="15">
      <c r="B15" s="8" t="inlineStr">
        <is>
          <t>净利率</t>
        </is>
      </c>
      <c r="C15" s="9">
        <f>C14/$F$6</f>
        <v/>
      </c>
      <c r="D15" s="10" t="inlineStr">
        <is>
          <t>公式</t>
        </is>
      </c>
      <c r="E15" s="10" t="inlineStr">
        <is>
          <t>S3</t>
        </is>
      </c>
    </row>
    <row r="18">
      <c r="B18" s="17" t="inlineStr">
        <is>
          <t>投资资产收益与Kioxia的关系：公司仅披露“投资资产相关收益”，Reuters引述分析师将其归因于Kioxia股权出售完成后的累计收益确认；该具体归因不是公司在业绩材料中的明示。</t>
        </is>
      </c>
    </row>
    <row r="19"/>
    <row r="21">
      <c r="B21" s="13" t="inlineStr">
        <is>
          <t>不列“调整后净利润”：投资资产收益为税前，且估值收益的非现金部分与对应税负未完整拆分，直接从净利润扣除会失真。</t>
        </is>
      </c>
    </row>
    <row r="22"/>
  </sheetData>
  <mergeCells count="4">
    <mergeCell ref="B21:E22"/>
    <mergeCell ref="B3:E3"/>
    <mergeCell ref="B2:E2"/>
    <mergeCell ref="B18:E19"/>
  </mergeCells>
  <pageMargins left="0.75" right="0.75" top="1" bottom="1" header="0.5" footer="0.5"/>
  <pageSetup fitToHeight="0" fitToWidth="1"/>
  <headerFooter>
    <oddHeader/>
    <oddFooter>&amp;CSK海力士2026Q2 | 信息截止2026-10-26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22" customWidth="1" min="4" max="4"/>
    <col width="15" customWidth="1" min="5" max="5"/>
    <col width="70" customWidth="1" min="6" max="6"/>
    <col width="56" customWidth="1" min="7" max="7"/>
    <col width="46" customWidth="1" min="8" max="8"/>
  </cols>
  <sheetData>
    <row r="2" ht="28" customHeight="1">
      <c r="B2" s="1" t="inlineStr">
        <is>
          <t>资料与来源清单</t>
        </is>
      </c>
    </row>
    <row r="3" ht="32" customHeight="1">
      <c r="B3" s="2" t="inlineStr">
        <is>
          <t>所有网页资料于2026-10-27核对；本地文件位于output/sources。</t>
        </is>
      </c>
    </row>
    <row r="5" ht="32" customHeight="1">
      <c r="B5" s="3" t="inlineStr">
        <is>
          <t>ID</t>
        </is>
      </c>
      <c r="C5" s="3" t="inlineStr">
        <is>
          <t>资料名称</t>
        </is>
      </c>
      <c r="D5" s="3" t="inlineStr">
        <is>
          <t>类型</t>
        </is>
      </c>
      <c r="E5" s="3" t="inlineStr">
        <is>
          <t>发布日期</t>
        </is>
      </c>
      <c r="F5" s="3" t="inlineStr">
        <is>
          <t>URL</t>
        </is>
      </c>
      <c r="G5" s="3" t="inlineStr">
        <is>
          <t>本地文件</t>
        </is>
      </c>
      <c r="H5" s="3" t="inlineStr">
        <is>
          <t>主要用途</t>
        </is>
      </c>
    </row>
    <row r="6" ht="52" customHeight="1">
      <c r="B6" s="19" t="inlineStr">
        <is>
          <t>S1</t>
        </is>
      </c>
      <c r="C6" s="19" t="inlineStr">
        <is>
          <t>SK hynix Announces 2Q26 Financial Results</t>
        </is>
      </c>
      <c r="D6" s="19" t="inlineStr">
        <is>
          <t>公司官方新闻稿</t>
        </is>
      </c>
      <c r="E6" s="19" t="inlineStr">
        <is>
          <t>2026-07-29</t>
        </is>
      </c>
      <c r="F6" s="19" t="inlineStr">
        <is>
          <t>https://news.skhynix.com/en/q2-2026-business-results/</t>
        </is>
      </c>
      <c r="G6" s="19" t="inlineStr">
        <is>
          <t>output/sources/SK_hynix_Q2_2026_press_release_excerpt.txt</t>
        </is>
      </c>
      <c r="H6" s="19" t="inlineStr">
        <is>
          <t>报告期、发布日期、季度业绩与业务驱动</t>
        </is>
      </c>
    </row>
    <row r="7" ht="52" customHeight="1">
      <c r="B7" s="20" t="inlineStr">
        <is>
          <t>S2</t>
        </is>
      </c>
      <c r="C7" s="20" t="inlineStr">
        <is>
          <t>SK hynix FY2026 Q2 Earnings Results（业绩演示）</t>
        </is>
      </c>
      <c r="D7" s="20" t="inlineStr">
        <is>
          <t>公司官方IR材料</t>
        </is>
      </c>
      <c r="E7" s="20" t="inlineStr">
        <is>
          <t>2026-07-29</t>
        </is>
      </c>
      <c r="F7" s="20" t="inlineStr">
        <is>
          <t>https://mis-prod-koce-homepage-cdn-01-blob-ep.azureedge.net/web/attach/13571040283022005.pdf</t>
        </is>
      </c>
      <c r="G7" s="20" t="inlineStr">
        <is>
          <t>output/sources/SK_hynix_FY2026_Q2_Earnings_Presentation.pdf</t>
        </is>
      </c>
      <c r="H7" s="20" t="inlineStr">
        <is>
          <t>单季利润表、现金流、资产负债、经营指标与指引</t>
        </is>
      </c>
    </row>
    <row r="8" ht="52" customHeight="1">
      <c r="B8" s="19" t="inlineStr">
        <is>
          <t>S3</t>
        </is>
      </c>
      <c r="C8" s="19" t="inlineStr">
        <is>
          <t>SK hynix Semi-Annual Business Report（Form 6-K）</t>
        </is>
      </c>
      <c r="D8" s="19" t="inlineStr">
        <is>
          <t>SEC官方申报文件</t>
        </is>
      </c>
      <c r="E8" s="19" t="inlineStr">
        <is>
          <t>2026-08-03</t>
        </is>
      </c>
      <c r="F8" s="19" t="inlineStr">
        <is>
          <t>https://www.sec.gov/Archives/edgar/data/2120882/000119312526354777/d147827d6k.htm</t>
        </is>
      </c>
      <c r="G8" s="19" t="inlineStr">
        <is>
          <t>output/sources/SK_hynix_2026_Semi_Annual_Business_Report_6K.html</t>
        </is>
      </c>
      <c r="H8" s="19" t="inlineStr">
        <is>
          <t>上半年累计利润表、现金流、投资收益构成与承诺</t>
        </is>
      </c>
    </row>
    <row r="9" ht="52" customHeight="1">
      <c r="B9" s="20" t="inlineStr">
        <is>
          <t>S4</t>
        </is>
      </c>
      <c r="C9" s="20" t="inlineStr">
        <is>
          <t>SK hynix Q2 FY2026 earnings call transcript</t>
        </is>
      </c>
      <c r="D9" s="20" t="inlineStr">
        <is>
          <t>业绩会文字实录（Yahoo Finance）</t>
        </is>
      </c>
      <c r="E9" s="20" t="inlineStr">
        <is>
          <t>2026-07-29</t>
        </is>
      </c>
      <c r="F9" s="20" t="inlineStr">
        <is>
          <t>https://finance.yahoo.com/quote/000660.KS/earnings/000660.KS-Q2-2026-earnings_call-653208.html</t>
        </is>
      </c>
      <c r="G9" s="20" t="inlineStr">
        <is>
          <t>output/sources/Yahoo_SK_hynix_Q2_2026_call_excerpt.txt</t>
        </is>
      </c>
      <c r="H9" s="20" t="inlineStr">
        <is>
          <t>价格、出货、产品组合、HBM4、LTA及资本开支说明</t>
        </is>
      </c>
    </row>
    <row r="10" ht="52" customHeight="1">
      <c r="B10" s="19" t="inlineStr">
        <is>
          <t>S5</t>
        </is>
      </c>
      <c r="C10" s="19" t="inlineStr">
        <is>
          <t>Reuters：SK hynix Q2 profit jumps 557%, misses forecasts</t>
        </is>
      </c>
      <c r="D10" s="19" t="inlineStr">
        <is>
          <t>新闻（LSEG事前一致预期）</t>
        </is>
      </c>
      <c r="E10" s="19" t="inlineStr">
        <is>
          <t>2026-07-29</t>
        </is>
      </c>
      <c r="F10" s="19" t="inlineStr">
        <is>
          <t>https://www.investing.com/news/stock-market-news/sk-hynix-q2-profit-jumps-557-on-ai-chip-demand-misses-forecasts-4818344</t>
        </is>
      </c>
      <c r="G10" s="19" t="inlineStr">
        <is>
          <t>output/sources/Reuters_2026-07-29_SK_hynix_Q2_excerpt.txt</t>
        </is>
      </c>
      <c r="H10" s="19" t="inlineStr">
        <is>
          <t>LSEG SmartEstimate、预期差异及Kioxia归因（分析师说法）</t>
        </is>
      </c>
    </row>
    <row r="11" ht="52" customHeight="1">
      <c r="B11" s="20" t="inlineStr">
        <is>
          <t>S6</t>
        </is>
      </c>
      <c r="C11" s="20" t="inlineStr">
        <is>
          <t>Q3 2026 Earnings Conference Call Invitation</t>
        </is>
      </c>
      <c r="D11" s="20" t="inlineStr">
        <is>
          <t>公司官方公告</t>
        </is>
      </c>
      <c r="E11" s="20" t="inlineStr">
        <is>
          <t>2026-10-21</t>
        </is>
      </c>
      <c r="F11" s="20" t="inlineStr">
        <is>
          <t>https://news.skhynix.com/en/q3-2026-earnings-conference-call-invitation/</t>
        </is>
      </c>
      <c r="G11" s="20" t="inlineStr">
        <is>
          <t>output/sources/SK_hynix_Q3_2026_invitation_excerpt.txt</t>
        </is>
      </c>
      <c r="H11" s="20" t="inlineStr">
        <is>
          <t>确认Q3在截止日后发布</t>
        </is>
      </c>
    </row>
    <row r="12" ht="52" customHeight="1">
      <c r="B12" s="19" t="inlineStr">
        <is>
          <t>S7</t>
        </is>
      </c>
      <c r="C12" s="19" t="inlineStr">
        <is>
          <t>SK hynix share repurchase and cancellation / FCF return plan</t>
        </is>
      </c>
      <c r="D12" s="19" t="inlineStr">
        <is>
          <t>公司官方公告</t>
        </is>
      </c>
      <c r="E12" s="19" t="inlineStr">
        <is>
          <t>2026-08-19</t>
        </is>
      </c>
      <c r="F12" s="19" t="inlineStr">
        <is>
          <t>https://news.skhynix.com/en/share-buyback-and-retirement/</t>
        </is>
      </c>
      <c r="G12" s="19" t="inlineStr">
        <is>
          <t>output/sources/SK_hynix_2026-08-19_shareholder_return_excerpt.txt</t>
        </is>
      </c>
      <c r="H12" s="19" t="inlineStr">
        <is>
          <t>二季度后股东回报事项</t>
        </is>
      </c>
    </row>
    <row r="13" ht="52" customHeight="1">
      <c r="B13" s="20" t="inlineStr">
        <is>
          <t>S8</t>
        </is>
      </c>
      <c r="C13" s="20" t="inlineStr">
        <is>
          <t>Quartz：SK Hynix Q2 2026 earnings（转引CNBC/LSEG）</t>
        </is>
      </c>
      <c r="D13" s="20" t="inlineStr">
        <is>
          <t>交叉核验来源</t>
        </is>
      </c>
      <c r="E13" s="20" t="inlineStr">
        <is>
          <t>2026-07-29</t>
        </is>
      </c>
      <c r="F13" s="20" t="inlineStr">
        <is>
          <t>https://qz.com/sk-hynix-q2-2026-earnings-record-profit-misses-estimates-072926</t>
        </is>
      </c>
      <c r="G13" s="20" t="inlineStr"/>
      <c r="H13" s="20" t="inlineStr">
        <is>
          <t>交叉核验LSEG SmartEstimate数值</t>
        </is>
      </c>
    </row>
  </sheetData>
  <autoFilter ref="B2:H13"/>
  <mergeCells count="2">
    <mergeCell ref="B3:H3"/>
    <mergeCell ref="B2:H2"/>
  </mergeCells>
  <pageMargins left="0.75" right="0.75" top="1" bottom="1" header="0.5" footer="0.5"/>
  <pageSetup fitToHeight="0" fitToWidth="1"/>
  <headerFooter>
    <oddHeader/>
    <oddFooter>&amp;CSK海力士2026Q2 | 信息截止2026-10-26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2026-10-27T13:43:49Z</dcterms:created>
  <dcterms:modified xmlns:dcterms="http://purl.org/dc/terms/" xmlns:xsi="http://www.w3.org/2001/XMLSchema-instance" xsi:type="dcterms:W3CDTF">2026-10-27T13:43:49Z</dcterms:modified>
</cp:coreProperties>
</file>