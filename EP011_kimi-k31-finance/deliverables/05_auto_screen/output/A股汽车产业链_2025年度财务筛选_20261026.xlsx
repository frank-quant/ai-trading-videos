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uant-videos\Kimi_K3.1_金融实测\04_测试案例\CASE07_金融数据库筛选\output\"/>
    </mc:Choice>
  </mc:AlternateContent>
  <xr:revisionPtr revIDLastSave="0" documentId="13_ncr:1_{CDD233E8-56F8-4648-A0AC-6DAAF61B2B3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给定候选池内前10家" sheetId="1" r:id="rId1"/>
    <sheet name="筛选计算" sheetId="2" r:id="rId2"/>
    <sheet name="原始财务数据" sheetId="3" r:id="rId3"/>
    <sheet name="查询口径与来源" sheetId="4" r:id="rId4"/>
    <sheet name="查询记录" sheetId="5" r:id="rId5"/>
  </sheets>
  <definedNames>
    <definedName name="_xlnm._FilterDatabase" localSheetId="4" hidden="1">查询记录!$A$1:$H$16</definedName>
    <definedName name="_xlnm._FilterDatabase" localSheetId="1" hidden="1">筛选计算!$A$1:$P$16</definedName>
    <definedName name="_xlnm._FilterDatabase" localSheetId="2" hidden="1">原始财务数据!$A$1:$W$16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/>
  <c r="J16" i="2" s="1"/>
  <c r="F16" i="2"/>
  <c r="I16" i="2" s="1"/>
  <c r="D16" i="2"/>
  <c r="H16" i="2" s="1"/>
  <c r="K16" i="2" s="1"/>
  <c r="C16" i="2"/>
  <c r="E16" i="2" s="1"/>
  <c r="B16" i="2"/>
  <c r="A16" i="2"/>
  <c r="G15" i="2"/>
  <c r="J15" i="2" s="1"/>
  <c r="F15" i="2"/>
  <c r="I15" i="2" s="1"/>
  <c r="D15" i="2"/>
  <c r="H15" i="2" s="1"/>
  <c r="C15" i="2"/>
  <c r="E15" i="2" s="1"/>
  <c r="B15" i="2"/>
  <c r="A15" i="2"/>
  <c r="G14" i="2"/>
  <c r="J14" i="2" s="1"/>
  <c r="F14" i="2"/>
  <c r="I14" i="2" s="1"/>
  <c r="D14" i="2"/>
  <c r="H14" i="2" s="1"/>
  <c r="C14" i="2"/>
  <c r="E14" i="2" s="1"/>
  <c r="B14" i="2"/>
  <c r="A14" i="2"/>
  <c r="H13" i="2"/>
  <c r="G13" i="2"/>
  <c r="J13" i="2" s="1"/>
  <c r="F13" i="2"/>
  <c r="I13" i="2" s="1"/>
  <c r="E13" i="2"/>
  <c r="D13" i="2"/>
  <c r="C13" i="2"/>
  <c r="B13" i="2"/>
  <c r="A13" i="2"/>
  <c r="G12" i="2"/>
  <c r="J12" i="2" s="1"/>
  <c r="F12" i="2"/>
  <c r="I12" i="2" s="1"/>
  <c r="D12" i="2"/>
  <c r="H12" i="2" s="1"/>
  <c r="C12" i="2"/>
  <c r="E12" i="2" s="1"/>
  <c r="B12" i="2"/>
  <c r="A12" i="2"/>
  <c r="G11" i="2"/>
  <c r="J11" i="2" s="1"/>
  <c r="F11" i="2"/>
  <c r="I11" i="2" s="1"/>
  <c r="D11" i="2"/>
  <c r="C11" i="2"/>
  <c r="B11" i="2"/>
  <c r="A11" i="2"/>
  <c r="G10" i="2"/>
  <c r="J10" i="2" s="1"/>
  <c r="F10" i="2"/>
  <c r="I10" i="2" s="1"/>
  <c r="D10" i="2"/>
  <c r="H10" i="2" s="1"/>
  <c r="C10" i="2"/>
  <c r="E10" i="2" s="1"/>
  <c r="B10" i="2"/>
  <c r="A10" i="2"/>
  <c r="G9" i="2"/>
  <c r="J9" i="2" s="1"/>
  <c r="F9" i="2"/>
  <c r="I9" i="2" s="1"/>
  <c r="D9" i="2"/>
  <c r="H9" i="2" s="1"/>
  <c r="C9" i="2"/>
  <c r="E9" i="2" s="1"/>
  <c r="B9" i="2"/>
  <c r="A9" i="2"/>
  <c r="G8" i="2"/>
  <c r="J8" i="2" s="1"/>
  <c r="F8" i="2"/>
  <c r="I8" i="2" s="1"/>
  <c r="D8" i="2"/>
  <c r="H8" i="2" s="1"/>
  <c r="K8" i="2" s="1"/>
  <c r="C8" i="2"/>
  <c r="E8" i="2" s="1"/>
  <c r="B8" i="2"/>
  <c r="A8" i="2"/>
  <c r="G7" i="2"/>
  <c r="J7" i="2" s="1"/>
  <c r="F7" i="2"/>
  <c r="I7" i="2" s="1"/>
  <c r="D7" i="2"/>
  <c r="H7" i="2" s="1"/>
  <c r="C7" i="2"/>
  <c r="E7" i="2" s="1"/>
  <c r="B7" i="2"/>
  <c r="A7" i="2"/>
  <c r="G6" i="2"/>
  <c r="J6" i="2" s="1"/>
  <c r="F6" i="2"/>
  <c r="I6" i="2" s="1"/>
  <c r="D6" i="2"/>
  <c r="H6" i="2" s="1"/>
  <c r="C6" i="2"/>
  <c r="E6" i="2" s="1"/>
  <c r="B6" i="2"/>
  <c r="A6" i="2"/>
  <c r="G5" i="2"/>
  <c r="J5" i="2" s="1"/>
  <c r="F5" i="2"/>
  <c r="I5" i="2" s="1"/>
  <c r="D5" i="2"/>
  <c r="H5" i="2" s="1"/>
  <c r="C5" i="2"/>
  <c r="E5" i="2" s="1"/>
  <c r="B5" i="2"/>
  <c r="A5" i="2"/>
  <c r="G4" i="2"/>
  <c r="J4" i="2" s="1"/>
  <c r="F4" i="2"/>
  <c r="I4" i="2" s="1"/>
  <c r="D4" i="2"/>
  <c r="C4" i="2"/>
  <c r="B4" i="2"/>
  <c r="A4" i="2"/>
  <c r="G3" i="2"/>
  <c r="J3" i="2" s="1"/>
  <c r="F3" i="2"/>
  <c r="I3" i="2" s="1"/>
  <c r="D3" i="2"/>
  <c r="H3" i="2" s="1"/>
  <c r="C3" i="2"/>
  <c r="E3" i="2" s="1"/>
  <c r="B3" i="2"/>
  <c r="A3" i="2"/>
  <c r="G2" i="2"/>
  <c r="J2" i="2" s="1"/>
  <c r="F2" i="2"/>
  <c r="I2" i="2" s="1"/>
  <c r="D2" i="2"/>
  <c r="H2" i="2" s="1"/>
  <c r="C2" i="2"/>
  <c r="B2" i="2"/>
  <c r="A2" i="2"/>
  <c r="E11" i="2" l="1"/>
  <c r="K10" i="2"/>
  <c r="E4" i="2"/>
  <c r="K9" i="2"/>
  <c r="M9" i="2" s="1"/>
  <c r="K14" i="2"/>
  <c r="H11" i="2"/>
  <c r="K11" i="2" s="1"/>
  <c r="K15" i="2"/>
  <c r="H4" i="2"/>
  <c r="K13" i="2"/>
  <c r="E2" i="2"/>
  <c r="K7" i="2"/>
  <c r="M7" i="2" s="1"/>
  <c r="K2" i="2"/>
  <c r="K5" i="2"/>
  <c r="M15" i="2"/>
  <c r="K4" i="2"/>
  <c r="M10" i="2"/>
  <c r="M14" i="2"/>
  <c r="K12" i="2"/>
  <c r="K3" i="2"/>
  <c r="L8" i="2"/>
  <c r="M8" i="2"/>
  <c r="K6" i="2"/>
  <c r="M16" i="2"/>
  <c r="L13" i="2" l="1"/>
  <c r="M11" i="2"/>
  <c r="L7" i="2"/>
  <c r="L14" i="2"/>
  <c r="L11" i="2"/>
  <c r="L10" i="2"/>
  <c r="L15" i="2"/>
  <c r="L16" i="2"/>
  <c r="M13" i="2"/>
  <c r="L9" i="2"/>
  <c r="M6" i="2"/>
  <c r="L6" i="2"/>
  <c r="M3" i="2"/>
  <c r="L3" i="2"/>
  <c r="M12" i="2"/>
  <c r="L12" i="2"/>
  <c r="M4" i="2"/>
  <c r="L4" i="2"/>
  <c r="L5" i="2"/>
  <c r="M5" i="2"/>
  <c r="L2" i="2"/>
  <c r="M2" i="2"/>
  <c r="G5" i="1"/>
  <c r="I16" i="1" l="1"/>
  <c r="H16" i="1"/>
  <c r="E13" i="1"/>
  <c r="D13" i="1"/>
  <c r="F16" i="1"/>
  <c r="G16" i="1"/>
  <c r="I19" i="1"/>
  <c r="H19" i="1"/>
  <c r="G19" i="1"/>
  <c r="D16" i="1"/>
  <c r="H12" i="1"/>
  <c r="C16" i="1"/>
  <c r="G12" i="1"/>
  <c r="I15" i="1"/>
  <c r="F12" i="1"/>
  <c r="H15" i="1"/>
  <c r="E12" i="1"/>
  <c r="C19" i="1"/>
  <c r="F14" i="1"/>
  <c r="G17" i="1"/>
  <c r="I13" i="1"/>
  <c r="I12" i="1"/>
  <c r="F19" i="1"/>
  <c r="E19" i="1"/>
  <c r="G15" i="1"/>
  <c r="D12" i="1"/>
  <c r="C14" i="1"/>
  <c r="F10" i="1"/>
  <c r="D19" i="1"/>
  <c r="I18" i="1"/>
  <c r="F15" i="1"/>
  <c r="C12" i="1"/>
  <c r="D15" i="1"/>
  <c r="G11" i="1"/>
  <c r="F11" i="1"/>
  <c r="E11" i="1"/>
  <c r="D11" i="1"/>
  <c r="I10" i="1"/>
  <c r="E16" i="1"/>
  <c r="H18" i="1"/>
  <c r="E15" i="1"/>
  <c r="I11" i="1"/>
  <c r="H11" i="1"/>
  <c r="C15" i="1"/>
  <c r="I14" i="1"/>
  <c r="D18" i="1"/>
  <c r="C18" i="1"/>
  <c r="I17" i="1"/>
  <c r="E14" i="1"/>
  <c r="H10" i="1"/>
  <c r="G18" i="1"/>
  <c r="G14" i="1"/>
  <c r="C11" i="1"/>
  <c r="F18" i="1"/>
  <c r="E18" i="1"/>
  <c r="H14" i="1"/>
  <c r="H17" i="1"/>
  <c r="F17" i="1"/>
  <c r="C13" i="1"/>
  <c r="D14" i="1"/>
  <c r="G10" i="1"/>
  <c r="E17" i="1"/>
  <c r="D17" i="1"/>
  <c r="H13" i="1"/>
  <c r="E10" i="1"/>
  <c r="C17" i="1"/>
  <c r="G13" i="1"/>
  <c r="D10" i="1"/>
  <c r="F13" i="1"/>
  <c r="C10" i="1"/>
</calcChain>
</file>

<file path=xl/sharedStrings.xml><?xml version="1.0" encoding="utf-8"?>
<sst xmlns="http://schemas.openxmlformats.org/spreadsheetml/2006/main" count="438" uniqueCount="218">
  <si>
    <t>A股汽车产业链候选公司：2025年度财务筛选</t>
  </si>
  <si>
    <t>给定候选池内前10家｜13家符合，本表列前10家｜2025年营业收入降序｜金额单位：人民币亿元</t>
  </si>
  <si>
    <t>候选公司数</t>
  </si>
  <si>
    <t>符合三项条件</t>
  </si>
  <si>
    <t>数据截止日</t>
  </si>
  <si>
    <t>2026-10-26</t>
  </si>
  <si>
    <t>实际查询时间</t>
  </si>
  <si>
    <t>2026-10-27T22:27:17+08:00 至 2026-10-27T22:27:35+08:00</t>
  </si>
  <si>
    <t>筛选条件：2025年营业收入＞100亿元；2025年归母净利润＞0；2025年经营活动现金流量净额＞0。缺少关键字段应标“无法判定”，本批次无缺失。</t>
  </si>
  <si>
    <t>排名</t>
  </si>
  <si>
    <t>证券代码</t>
  </si>
  <si>
    <t>证券简称</t>
  </si>
  <si>
    <t>2024年营业收入</t>
  </si>
  <si>
    <t>2025年营业收入</t>
  </si>
  <si>
    <t>营收同比增速</t>
  </si>
  <si>
    <t>2025年归母净利润</t>
  </si>
  <si>
    <t>2025年经营现金流净额</t>
  </si>
  <si>
    <t>注：13家符合三项条件，本表仅列营收前10家；江铃汽车、德赛西威、拓普集团分列第11—13名，未补入候选池外公司。</t>
  </si>
  <si>
    <t>2024年营业收入（亿元）</t>
  </si>
  <si>
    <t>2025年营业收入（亿元）</t>
  </si>
  <si>
    <t>2025年营收同比增速</t>
  </si>
  <si>
    <t>2025年归母净利润（亿元）</t>
  </si>
  <si>
    <t>2025年经营现金流净额（亿元）</t>
  </si>
  <si>
    <t>营收＞100亿元</t>
  </si>
  <si>
    <t>归母净利润＞0</t>
  </si>
  <si>
    <t>经营现金流＞0</t>
  </si>
  <si>
    <t>综合筛选结果</t>
  </si>
  <si>
    <t>符合公司营收排名</t>
  </si>
  <si>
    <t>筛选说明</t>
  </si>
  <si>
    <t>2024年比较数据版本</t>
  </si>
  <si>
    <t>Source Name</t>
  </si>
  <si>
    <t>Source URL</t>
  </si>
  <si>
    <t>2024年报本期数（数据库当前返回）；未提供2025年报比较期追溯调整标识</t>
  </si>
  <si>
    <t>iFinD 同花顺</t>
  </si>
  <si>
    <t>https://www.51ifind.com/</t>
  </si>
  <si>
    <t>证券简称（数据库）</t>
  </si>
  <si>
    <t>证券简称（输入）</t>
  </si>
  <si>
    <t>身份核对</t>
  </si>
  <si>
    <t>2024报告期</t>
  </si>
  <si>
    <t>2025报告期</t>
  </si>
  <si>
    <t>2024营业收入（元）</t>
  </si>
  <si>
    <t>2025营业收入（元）</t>
  </si>
  <si>
    <t>2024营业总收入（元）</t>
  </si>
  <si>
    <t>2025营业总收入（元）</t>
  </si>
  <si>
    <t>2024净利润（元）</t>
  </si>
  <si>
    <t>2025净利润（元）</t>
  </si>
  <si>
    <t>2024归母净利润（元）</t>
  </si>
  <si>
    <t>2025归母净利润（元）</t>
  </si>
  <si>
    <t>2024经营现金流净额（元）</t>
  </si>
  <si>
    <t>2025经营现金流净额（元）</t>
  </si>
  <si>
    <t>2024利润表来源</t>
  </si>
  <si>
    <t>2024现金流来源</t>
  </si>
  <si>
    <t>2025利润表来源</t>
  </si>
  <si>
    <t>2025现金流来源</t>
  </si>
  <si>
    <t>证券简称来源</t>
  </si>
  <si>
    <t>002594.SZ</t>
  </si>
  <si>
    <t>比亚迪</t>
  </si>
  <si>
    <t>一致</t>
  </si>
  <si>
    <t>2024-12-31</t>
  </si>
  <si>
    <t>2025-12-31</t>
  </si>
  <si>
    <t>output/raw/income_statement_batch1_2024.csv</t>
  </si>
  <si>
    <t>output/raw/cash_flow_batch1_2024.csv</t>
  </si>
  <si>
    <t>output/raw/income_statement_batch1_2025.csv</t>
  </si>
  <si>
    <t>output/raw/cash_flow_batch1_2025.csv</t>
  </si>
  <si>
    <t>output/raw/stock_info_batch1.csv</t>
  </si>
  <si>
    <t>600104.SH</t>
  </si>
  <si>
    <t>上汽集团</t>
  </si>
  <si>
    <t>000625.SZ</t>
  </si>
  <si>
    <t>长安汽车</t>
  </si>
  <si>
    <t>601633.SH</t>
  </si>
  <si>
    <t>长城汽车</t>
  </si>
  <si>
    <t>output/raw/income_statement_batch2_2024.csv</t>
  </si>
  <si>
    <t>output/raw/cash_flow_batch2_2024.csv</t>
  </si>
  <si>
    <t>output/raw/income_statement_batch2_2025.csv</t>
  </si>
  <si>
    <t>output/raw/cash_flow_batch2_2025.csv</t>
  </si>
  <si>
    <t>output/raw/stock_info_batch2.csv</t>
  </si>
  <si>
    <t>601238.SH</t>
  </si>
  <si>
    <t>广汽集团</t>
  </si>
  <si>
    <t>601127.SH</t>
  </si>
  <si>
    <t>赛力斯</t>
  </si>
  <si>
    <t>600418.SH</t>
  </si>
  <si>
    <t>江淮汽车</t>
  </si>
  <si>
    <t>output/raw/income_statement_batch3_2024.csv</t>
  </si>
  <si>
    <t>output/raw/cash_flow_batch3_2024.csv</t>
  </si>
  <si>
    <t>output/raw/income_statement_batch3_2025.csv</t>
  </si>
  <si>
    <t>output/raw/cash_flow_batch3_2025.csv</t>
  </si>
  <si>
    <t>output/raw/stock_info_batch3.csv</t>
  </si>
  <si>
    <t>000550.SZ</t>
  </si>
  <si>
    <t>江铃汽车</t>
  </si>
  <si>
    <t>600066.SH</t>
  </si>
  <si>
    <t>宇通客车</t>
  </si>
  <si>
    <t>600166.SH</t>
  </si>
  <si>
    <t>福田汽车</t>
  </si>
  <si>
    <t>output/raw/income_statement_batch4_2024.csv</t>
  </si>
  <si>
    <t>output/raw/cash_flow_batch4_2024.csv</t>
  </si>
  <si>
    <t>output/raw/income_statement_batch4_2025.csv</t>
  </si>
  <si>
    <t>output/raw/cash_flow_batch4_2025.csv</t>
  </si>
  <si>
    <t>output/raw/stock_info_batch4.csv</t>
  </si>
  <si>
    <t>000338.SZ</t>
  </si>
  <si>
    <t>潍柴动力</t>
  </si>
  <si>
    <t>600741.SH</t>
  </si>
  <si>
    <t>华域汽车</t>
  </si>
  <si>
    <t>601689.SH</t>
  </si>
  <si>
    <t>拓普集团</t>
  </si>
  <si>
    <t>output/raw/income_statement_batch5_2024.csv</t>
  </si>
  <si>
    <t>output/raw/cash_flow_batch5_2024.csv</t>
  </si>
  <si>
    <t>output/raw/income_statement_batch5_2025.csv</t>
  </si>
  <si>
    <t>output/raw/cash_flow_batch5_2025.csv</t>
  </si>
  <si>
    <t>output/raw/stock_info_batch5.csv</t>
  </si>
  <si>
    <t>002920.SZ</t>
  </si>
  <si>
    <t>德赛西威</t>
  </si>
  <si>
    <t>600699.SH</t>
  </si>
  <si>
    <t>均胜电子</t>
  </si>
  <si>
    <t>查询口径、字段映射与来源</t>
  </si>
  <si>
    <t>项目</t>
  </si>
  <si>
    <t>说明</t>
  </si>
  <si>
    <t>数据源</t>
  </si>
  <si>
    <t>iFinD（同花顺），通过 ifind_get_stock_info 与 ifind_get_financial_statements 实际接口查询；未使用网页搜索摘要或估计值。</t>
  </si>
  <si>
    <t>候选范围</t>
  </si>
  <si>
    <t>仅限用户给定15家A股公司，以证券代码为准；未获取全市场或行业成分清单。</t>
  </si>
  <si>
    <t>证券简称由 ifind_get_stock_info 按 request_time=2026-10-26 查询，15家均与输入简称一致。</t>
  </si>
  <si>
    <t>报告期</t>
  </si>
  <si>
    <t>2025-12-31年度合并财务报表；2024-12-31年度合并财务报表作为营收同比比较期。</t>
  </si>
  <si>
    <t>2026-10-26（按用户指定口径）。</t>
  </si>
  <si>
    <t>2026-10-27T22:27:17+08:00 至 2026-10-27T22:27:35+08:00（本地时区，ISO 8601）。</t>
  </si>
  <si>
    <t>金额单位</t>
  </si>
  <si>
    <t>原始财务数据表保留人民币元；筛选计算与前10家表统一换算为人民币亿元，1亿元=100,000,000元。</t>
  </si>
  <si>
    <t>营业收入字段</t>
  </si>
  <si>
    <t>ths_revenue_stock（营业收入），筛选与同比均不使用 ths_operating_total_revenue_stock（营业总收入）。</t>
  </si>
  <si>
    <t>归母净利润字段</t>
  </si>
  <si>
    <t>ths_np_atoopc_stock（归属于母公司股东的净利润），不以 ths_np_stock（净利润）替代。</t>
  </si>
  <si>
    <t>经营现金流字段</t>
  </si>
  <si>
    <t>ths_ncf_from_oa_stock（经营活动产生的现金流量净额）。</t>
  </si>
  <si>
    <t>营收增速公式</t>
  </si>
  <si>
    <t>（2025年营业收入－2024年营业收入）÷ABS（2024年营业收入）。Excel公式见“筛选计算”E列。</t>
  </si>
  <si>
    <t>2024年比较版本</t>
  </si>
  <si>
    <t>2024年报本期数（数据库当前返回）。接口未提供2025年报比较期追溯调整标识，无法据此判断是否发生重述，未自行调整。</t>
  </si>
  <si>
    <t>筛选公式</t>
  </si>
  <si>
    <t>2025年营业收入＞100亿元、归母净利润＞0、经营现金流净额＞0，三项同时满足方为“符合”；仅在符合公司中按2025年营业收入降序排名。</t>
  </si>
  <si>
    <t>缺失与零值</t>
  </si>
  <si>
    <t>空白/非数值关键字段标“无法判定”；零值按实际0参与判断。本批15家关键字段均为数值，无缺失、无“无法判定”。</t>
  </si>
  <si>
    <t>披露时点限制</t>
  </si>
  <si>
    <t>财务接口不支持 request_time 历史快照参数，原始返回无各年报公告披露时点；无法仅凭原始返回独立核实其于2026-10-26的具体公开时点。</t>
  </si>
  <si>
    <t>接口时间戳说明</t>
  </si>
  <si>
    <t>原始响应中的数据库 timestamp 与本地实际查询时间可能不同；查询记录表同时保留本地起止时间与原始响应文件路径。</t>
  </si>
  <si>
    <t>原始返回</t>
  </si>
  <si>
    <t>output/raw 保存查询参数、原始响应文本、分批CSV、分拆后的三表CSV及 query_manifest.json。</t>
  </si>
  <si>
    <t>结果命名</t>
  </si>
  <si>
    <t>给定候选池内前10家；13家符合三项条件，按2025年营业收入列示前10家，不补入其他公司。</t>
  </si>
  <si>
    <t>序号</t>
  </si>
  <si>
    <t>批次标签</t>
  </si>
  <si>
    <t>API</t>
  </si>
  <si>
    <t>本地开始时间</t>
  </si>
  <si>
    <t>本地结束时间</t>
  </si>
  <si>
    <t>返回码</t>
  </si>
  <si>
    <t>参数文件</t>
  </si>
  <si>
    <t>原始响应文件</t>
  </si>
  <si>
    <t>stock_info_batch1</t>
  </si>
  <si>
    <t>ifind_get_stock_info</t>
  </si>
  <si>
    <t>2026-10-27T22:27:17+08:00</t>
  </si>
  <si>
    <t>2026-10-27T22:27:18+08:00</t>
  </si>
  <si>
    <t>output\raw\stock_info_batch1_params.json</t>
  </si>
  <si>
    <t>output\raw\stock_info_batch1_response.txt</t>
  </si>
  <si>
    <t>financials_batch1_2025</t>
  </si>
  <si>
    <t>ifind_get_financial_statements</t>
  </si>
  <si>
    <t>output\raw\financials_batch1_2025_params.json</t>
  </si>
  <si>
    <t>output\raw\financials_batch1_2025_response.txt</t>
  </si>
  <si>
    <t>financials_batch1_2024</t>
  </si>
  <si>
    <t>2026-10-27T22:27:19+08:00</t>
  </si>
  <si>
    <t>output\raw\financials_batch1_2024_params.json</t>
  </si>
  <si>
    <t>output\raw\financials_batch1_2024_response.txt</t>
  </si>
  <si>
    <t>stock_info_batch2</t>
  </si>
  <si>
    <t>output\raw\stock_info_batch2_params.json</t>
  </si>
  <si>
    <t>output\raw\stock_info_batch2_response.txt</t>
  </si>
  <si>
    <t>financials_batch2_2025</t>
  </si>
  <si>
    <t>2026-10-27T22:27:21+08:00</t>
  </si>
  <si>
    <t>output\raw\financials_batch2_2025_params.json</t>
  </si>
  <si>
    <t>output\raw\financials_batch2_2025_response.txt</t>
  </si>
  <si>
    <t>financials_batch2_2024</t>
  </si>
  <si>
    <t>2026-10-27T22:27:23+08:00</t>
  </si>
  <si>
    <t>output\raw\financials_batch2_2024_params.json</t>
  </si>
  <si>
    <t>output\raw\financials_batch2_2024_response.txt</t>
  </si>
  <si>
    <t>stock_info_batch3</t>
  </si>
  <si>
    <t>2026-10-27T22:27:24+08:00</t>
  </si>
  <si>
    <t>output\raw\stock_info_batch3_params.json</t>
  </si>
  <si>
    <t>output\raw\stock_info_batch3_response.txt</t>
  </si>
  <si>
    <t>financials_batch3_2025</t>
  </si>
  <si>
    <t>2026-10-27T22:27:26+08:00</t>
  </si>
  <si>
    <t>output\raw\financials_batch3_2025_params.json</t>
  </si>
  <si>
    <t>output\raw\financials_batch3_2025_response.txt</t>
  </si>
  <si>
    <t>financials_batch3_2024</t>
  </si>
  <si>
    <t>2026-10-27T22:27:27+08:00</t>
  </si>
  <si>
    <t>output\raw\financials_batch3_2024_params.json</t>
  </si>
  <si>
    <t>output\raw\financials_batch3_2024_response.txt</t>
  </si>
  <si>
    <t>stock_info_batch4</t>
  </si>
  <si>
    <t>2026-10-27T22:27:28+08:00</t>
  </si>
  <si>
    <t>output\raw\stock_info_batch4_params.json</t>
  </si>
  <si>
    <t>output\raw\stock_info_batch4_response.txt</t>
  </si>
  <si>
    <t>financials_batch4_2025</t>
  </si>
  <si>
    <t>2026-10-27T22:27:30+08:00</t>
  </si>
  <si>
    <t>output\raw\financials_batch4_2025_params.json</t>
  </si>
  <si>
    <t>output\raw\financials_batch4_2025_response.txt</t>
  </si>
  <si>
    <t>financials_batch4_2024</t>
  </si>
  <si>
    <t>2026-10-27T22:27:31+08:00</t>
  </si>
  <si>
    <t>output\raw\financials_batch4_2024_params.json</t>
  </si>
  <si>
    <t>output\raw\financials_batch4_2024_response.txt</t>
  </si>
  <si>
    <t>stock_info_batch5</t>
  </si>
  <si>
    <t>2026-10-27T22:27:32+08:00</t>
  </si>
  <si>
    <t>output\raw\stock_info_batch5_params.json</t>
  </si>
  <si>
    <t>output\raw\stock_info_batch5_response.txt</t>
  </si>
  <si>
    <t>financials_batch5_2025</t>
  </si>
  <si>
    <t>2026-10-27T22:27:33+08:00</t>
  </si>
  <si>
    <t>output\raw\financials_batch5_2025_params.json</t>
  </si>
  <si>
    <t>output\raw\financials_batch5_2025_response.txt</t>
  </si>
  <si>
    <t>financials_batch5_2024</t>
  </si>
  <si>
    <t>2026-10-27T22:27:35+08:00</t>
  </si>
  <si>
    <t>output\raw\financials_batch5_2024_params.json</t>
  </si>
  <si>
    <t>output\raw\financials_batch5_2024_response.txt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</si>
</sst>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sz val="11"/>
      <color rgb="FF66666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666666"/>
      <name val="Microsoft YaHei"/>
      <family val="2"/>
      <charset val="134"/>
    </font>
    <font>
      <sz val="11"/>
      <color rgb="FF008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0000FF"/>
      <name val="Microsoft YaHei"/>
      <family val="2"/>
      <charset val="134"/>
    </font>
    <font>
      <b/>
      <sz val="17"/>
      <color rgb="FFFFFFFF"/>
      <name val="Microsoft YaHei"/>
      <family val="2"/>
      <charset val="134"/>
    </font>
    <font>
      <b/>
      <sz val="11"/>
      <color rgb="FF17365D"/>
      <name val="Microsoft YaHei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right" vertical="center"/>
    </xf>
    <xf numFmtId="10" fontId="0" fillId="5" borderId="1" xfId="0" applyNumberForma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9" fillId="6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3" fillId="2" borderId="0" xfId="0" applyFont="1" applyFill="1"/>
    <xf numFmtId="0" fontId="0" fillId="0" borderId="1" xfId="0" applyBorder="1"/>
    <xf numFmtId="0" fontId="0" fillId="0" borderId="0" xfId="0"/>
    <xf numFmtId="0" fontId="4" fillId="0" borderId="0" xfId="0" applyFon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8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常规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21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4.35"/>
  <cols>
    <col min="1" max="1" width="3" customWidth="1"/>
    <col min="2" max="2" width="9" customWidth="1"/>
    <col min="3" max="3" width="16" customWidth="1"/>
    <col min="4" max="4" width="14" customWidth="1"/>
    <col min="5" max="6" width="18" customWidth="1"/>
    <col min="7" max="7" width="16" customWidth="1"/>
    <col min="8" max="8" width="20" customWidth="1"/>
    <col min="9" max="9" width="22" customWidth="1"/>
  </cols>
  <sheetData>
    <row r="2" spans="2:9" ht="34" customHeight="1">
      <c r="B2" s="22" t="s">
        <v>0</v>
      </c>
      <c r="C2" s="19"/>
      <c r="D2" s="19"/>
      <c r="E2" s="19"/>
      <c r="F2" s="19"/>
      <c r="G2" s="19"/>
      <c r="H2" s="19"/>
      <c r="I2" s="19"/>
    </row>
    <row r="3" spans="2:9" ht="15.35">
      <c r="B3" s="23" t="s">
        <v>1</v>
      </c>
      <c r="C3" s="19"/>
      <c r="D3" s="19"/>
      <c r="E3" s="19"/>
      <c r="F3" s="19"/>
      <c r="G3" s="19"/>
      <c r="H3" s="19"/>
      <c r="I3" s="19"/>
    </row>
    <row r="5" spans="2:9">
      <c r="B5" s="19" t="s">
        <v>2</v>
      </c>
      <c r="C5" s="19"/>
      <c r="D5">
        <v>15</v>
      </c>
      <c r="E5" s="19" t="s">
        <v>3</v>
      </c>
      <c r="F5" s="19"/>
      <c r="G5">
        <f>COUNTIF(筛选计算!$K$2:$K$16,"符合")</f>
        <v>13</v>
      </c>
    </row>
    <row r="6" spans="2:9">
      <c r="B6" s="19" t="s">
        <v>4</v>
      </c>
      <c r="C6" s="19"/>
      <c r="D6" t="s">
        <v>5</v>
      </c>
      <c r="E6" s="19" t="s">
        <v>6</v>
      </c>
      <c r="F6" s="19"/>
      <c r="G6" t="s">
        <v>7</v>
      </c>
    </row>
    <row r="7" spans="2:9" ht="34" customHeight="1">
      <c r="B7" s="21" t="s">
        <v>8</v>
      </c>
      <c r="C7" s="19"/>
      <c r="D7" s="19"/>
      <c r="E7" s="19"/>
      <c r="F7" s="19"/>
      <c r="G7" s="19"/>
      <c r="H7" s="19"/>
      <c r="I7" s="19"/>
    </row>
    <row r="9" spans="2:9" ht="34" customHeight="1"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2:9">
      <c r="B10" s="2">
        <v>1</v>
      </c>
      <c r="C10" s="2" t="str">
        <f>INDEX(筛选计算!$A$2:$A$16,MATCH($B10,筛选计算!$L$2:$L$16,0))</f>
        <v>002594.SZ</v>
      </c>
      <c r="D10" s="2" t="str">
        <f>INDEX(筛选计算!$B$2:$B$16,MATCH($B10,筛选计算!$L$2:$L$16,0))</f>
        <v>比亚迪</v>
      </c>
      <c r="E10" s="3">
        <f>INDEX(筛选计算!$C$2:$C$16,MATCH($B10,筛选计算!$L$2:$L$16,0))</f>
        <v>7771.0245500000001</v>
      </c>
      <c r="F10" s="3">
        <f>INDEX(筛选计算!$D$2:$D$16,MATCH($B10,筛选计算!$L$2:$L$16,0))</f>
        <v>8039.6495800000002</v>
      </c>
      <c r="G10" s="4">
        <f>INDEX(筛选计算!$E$2:$E$16,MATCH($B10,筛选计算!$L$2:$L$16,0))</f>
        <v>3.4567517869957078E-2</v>
      </c>
      <c r="H10" s="3">
        <f>INDEX(筛选计算!$F$2:$F$16,MATCH($B10,筛选计算!$L$2:$L$16,0))</f>
        <v>326.19022000000001</v>
      </c>
      <c r="I10" s="3">
        <f>INDEX(筛选计算!$G$2:$G$16,MATCH($B10,筛选计算!$L$2:$L$16,0))</f>
        <v>591.35544000000004</v>
      </c>
    </row>
    <row r="11" spans="2:9">
      <c r="B11" s="5">
        <v>2</v>
      </c>
      <c r="C11" s="5" t="str">
        <f>INDEX(筛选计算!$A$2:$A$16,MATCH($B11,筛选计算!$L$2:$L$16,0))</f>
        <v>600104.SH</v>
      </c>
      <c r="D11" s="5" t="str">
        <f>INDEX(筛选计算!$B$2:$B$16,MATCH($B11,筛选计算!$L$2:$L$16,0))</f>
        <v>上汽集团</v>
      </c>
      <c r="E11" s="6">
        <f>INDEX(筛选计算!$C$2:$C$16,MATCH($B11,筛选计算!$L$2:$L$16,0))</f>
        <v>6140.7406181813003</v>
      </c>
      <c r="F11" s="6">
        <f>INDEX(筛选计算!$D$2:$D$16,MATCH($B11,筛选计算!$L$2:$L$16,0))</f>
        <v>6461.5210188930005</v>
      </c>
      <c r="G11" s="7">
        <f>INDEX(筛选计算!$E$2:$E$16,MATCH($B11,筛选计算!$L$2:$L$16,0))</f>
        <v>5.2238063884663073E-2</v>
      </c>
      <c r="H11" s="6">
        <f>INDEX(筛选计算!$F$2:$F$16,MATCH($B11,筛选计算!$L$2:$L$16,0))</f>
        <v>101.05800270340001</v>
      </c>
      <c r="I11" s="6">
        <f>INDEX(筛选计算!$G$2:$G$16,MATCH($B11,筛选计算!$L$2:$L$16,0))</f>
        <v>343.0660190598</v>
      </c>
    </row>
    <row r="12" spans="2:9">
      <c r="B12" s="2">
        <v>3</v>
      </c>
      <c r="C12" s="2" t="str">
        <f>INDEX(筛选计算!$A$2:$A$16,MATCH($B12,筛选计算!$L$2:$L$16,0))</f>
        <v>000338.SZ</v>
      </c>
      <c r="D12" s="2" t="str">
        <f>INDEX(筛选计算!$B$2:$B$16,MATCH($B12,筛选计算!$L$2:$L$16,0))</f>
        <v>潍柴动力</v>
      </c>
      <c r="E12" s="3">
        <f>INDEX(筛选计算!$C$2:$C$16,MATCH($B12,筛选计算!$L$2:$L$16,0))</f>
        <v>2156.9050458982001</v>
      </c>
      <c r="F12" s="3">
        <f>INDEX(筛选计算!$D$2:$D$16,MATCH($B12,筛选计算!$L$2:$L$16,0))</f>
        <v>2318.0928110682003</v>
      </c>
      <c r="G12" s="4">
        <f>INDEX(筛选计算!$E$2:$E$16,MATCH($B12,筛选计算!$L$2:$L$16,0))</f>
        <v>7.4731043666726046E-2</v>
      </c>
      <c r="H12" s="3">
        <f>INDEX(筛选计算!$F$2:$F$16,MATCH($B12,筛选计算!$L$2:$L$16,0))</f>
        <v>109.30504451020001</v>
      </c>
      <c r="I12" s="3">
        <f>INDEX(筛选计算!$G$2:$G$16,MATCH($B12,筛选计算!$L$2:$L$16,0))</f>
        <v>286.81522296049997</v>
      </c>
    </row>
    <row r="13" spans="2:9">
      <c r="B13" s="5">
        <v>4</v>
      </c>
      <c r="C13" s="5" t="str">
        <f>INDEX(筛选计算!$A$2:$A$16,MATCH($B13,筛选计算!$L$2:$L$16,0))</f>
        <v>601633.SH</v>
      </c>
      <c r="D13" s="5" t="str">
        <f>INDEX(筛选计算!$B$2:$B$16,MATCH($B13,筛选计算!$L$2:$L$16,0))</f>
        <v>长城汽车</v>
      </c>
      <c r="E13" s="6">
        <f>INDEX(筛选计算!$C$2:$C$16,MATCH($B13,筛选计算!$L$2:$L$16,0))</f>
        <v>2021.9547233488001</v>
      </c>
      <c r="F13" s="6">
        <f>INDEX(筛选计算!$D$2:$D$16,MATCH($B13,筛选计算!$L$2:$L$16,0))</f>
        <v>2228.2423851624999</v>
      </c>
      <c r="G13" s="7">
        <f>INDEX(筛选计算!$E$2:$E$16,MATCH($B13,筛选计算!$L$2:$L$16,0))</f>
        <v>0.10202387789971981</v>
      </c>
      <c r="H13" s="6">
        <f>INDEX(筛选计算!$F$2:$F$16,MATCH($B13,筛选计算!$L$2:$L$16,0))</f>
        <v>98.6528019016</v>
      </c>
      <c r="I13" s="6">
        <f>INDEX(筛选计算!$G$2:$G$16,MATCH($B13,筛选计算!$L$2:$L$16,0))</f>
        <v>403.55401297930001</v>
      </c>
    </row>
    <row r="14" spans="2:9">
      <c r="B14" s="2">
        <v>5</v>
      </c>
      <c r="C14" s="2" t="str">
        <f>INDEX(筛选计算!$A$2:$A$16,MATCH($B14,筛选计算!$L$2:$L$16,0))</f>
        <v>600741.SH</v>
      </c>
      <c r="D14" s="2" t="str">
        <f>INDEX(筛选计算!$B$2:$B$16,MATCH($B14,筛选计算!$L$2:$L$16,0))</f>
        <v>华域汽车</v>
      </c>
      <c r="E14" s="3">
        <f>INDEX(筛选计算!$C$2:$C$16,MATCH($B14,筛选计算!$L$2:$L$16,0))</f>
        <v>1688.5218383932001</v>
      </c>
      <c r="F14" s="3">
        <f>INDEX(筛选计算!$D$2:$D$16,MATCH($B14,筛选计算!$L$2:$L$16,0))</f>
        <v>1839.9890051366001</v>
      </c>
      <c r="G14" s="4">
        <f>INDEX(筛选计算!$E$2:$E$16,MATCH($B14,筛选计算!$L$2:$L$16,0))</f>
        <v>8.9704002222166304E-2</v>
      </c>
      <c r="H14" s="3">
        <f>INDEX(筛选计算!$F$2:$F$16,MATCH($B14,筛选计算!$L$2:$L$16,0))</f>
        <v>72.072681396099995</v>
      </c>
      <c r="I14" s="3">
        <f>INDEX(筛选计算!$G$2:$G$16,MATCH($B14,筛选计算!$L$2:$L$16,0))</f>
        <v>95.231027974699998</v>
      </c>
    </row>
    <row r="15" spans="2:9">
      <c r="B15" s="5">
        <v>6</v>
      </c>
      <c r="C15" s="5" t="str">
        <f>INDEX(筛选计算!$A$2:$A$16,MATCH($B15,筛选计算!$L$2:$L$16,0))</f>
        <v>601127.SH</v>
      </c>
      <c r="D15" s="5" t="str">
        <f>INDEX(筛选计算!$B$2:$B$16,MATCH($B15,筛选计算!$L$2:$L$16,0))</f>
        <v>赛力斯</v>
      </c>
      <c r="E15" s="6">
        <f>INDEX(筛选计算!$C$2:$C$16,MATCH($B15,筛选计算!$L$2:$L$16,0))</f>
        <v>1451.7582205379001</v>
      </c>
      <c r="F15" s="6">
        <f>INDEX(筛选计算!$D$2:$D$16,MATCH($B15,筛选计算!$L$2:$L$16,0))</f>
        <v>1650.5363663913001</v>
      </c>
      <c r="G15" s="7">
        <f>INDEX(筛选计算!$E$2:$E$16,MATCH($B15,筛选计算!$L$2:$L$16,0))</f>
        <v>0.13692234908079218</v>
      </c>
      <c r="H15" s="6">
        <f>INDEX(筛选计算!$F$2:$F$16,MATCH($B15,筛选计算!$L$2:$L$16,0))</f>
        <v>59.5678744991</v>
      </c>
      <c r="I15" s="6">
        <f>INDEX(筛选计算!$G$2:$G$16,MATCH($B15,筛选计算!$L$2:$L$16,0))</f>
        <v>289.13743329240003</v>
      </c>
    </row>
    <row r="16" spans="2:9">
      <c r="B16" s="2">
        <v>7</v>
      </c>
      <c r="C16" s="2" t="str">
        <f>INDEX(筛选计算!$A$2:$A$16,MATCH($B16,筛选计算!$L$2:$L$16,0))</f>
        <v>000625.SZ</v>
      </c>
      <c r="D16" s="2" t="str">
        <f>INDEX(筛选计算!$B$2:$B$16,MATCH($B16,筛选计算!$L$2:$L$16,0))</f>
        <v>长安汽车</v>
      </c>
      <c r="E16" s="3">
        <f>INDEX(筛选计算!$C$2:$C$16,MATCH($B16,筛选计算!$L$2:$L$16,0))</f>
        <v>1597.3303421324999</v>
      </c>
      <c r="F16" s="3">
        <f>INDEX(筛选计算!$D$2:$D$16,MATCH($B16,筛选计算!$L$2:$L$16,0))</f>
        <v>1639.9980387587</v>
      </c>
      <c r="G16" s="4">
        <f>INDEX(筛选计算!$E$2:$E$16,MATCH($B16,筛选计算!$L$2:$L$16,0))</f>
        <v>2.6711880129464616E-2</v>
      </c>
      <c r="H16" s="3">
        <f>INDEX(筛选计算!$F$2:$F$16,MATCH($B16,筛选计算!$L$2:$L$16,0))</f>
        <v>40.752231815400002</v>
      </c>
      <c r="I16" s="3">
        <f>INDEX(筛选计算!$G$2:$G$16,MATCH($B16,筛选计算!$L$2:$L$16,0))</f>
        <v>18.356733585600001</v>
      </c>
    </row>
    <row r="17" spans="2:9">
      <c r="B17" s="5">
        <v>8</v>
      </c>
      <c r="C17" s="5" t="str">
        <f>INDEX(筛选计算!$A$2:$A$16,MATCH($B17,筛选计算!$L$2:$L$16,0))</f>
        <v>600166.SH</v>
      </c>
      <c r="D17" s="5" t="str">
        <f>INDEX(筛选计算!$B$2:$B$16,MATCH($B17,筛选计算!$L$2:$L$16,0))</f>
        <v>福田汽车</v>
      </c>
      <c r="E17" s="6">
        <f>INDEX(筛选计算!$C$2:$C$16,MATCH($B17,筛选计算!$L$2:$L$16,0))</f>
        <v>476.97540240429998</v>
      </c>
      <c r="F17" s="6">
        <f>INDEX(筛选计算!$D$2:$D$16,MATCH($B17,筛选计算!$L$2:$L$16,0))</f>
        <v>612.47393438929998</v>
      </c>
      <c r="G17" s="7">
        <f>INDEX(筛选计算!$E$2:$E$16,MATCH($B17,筛选计算!$L$2:$L$16,0))</f>
        <v>0.28407865751984207</v>
      </c>
      <c r="H17" s="6">
        <f>INDEX(筛选计算!$F$2:$F$16,MATCH($B17,筛选计算!$L$2:$L$16,0))</f>
        <v>13.638268014500001</v>
      </c>
      <c r="I17" s="6">
        <f>INDEX(筛选计算!$G$2:$G$16,MATCH($B17,筛选计算!$L$2:$L$16,0))</f>
        <v>18.945981934999999</v>
      </c>
    </row>
    <row r="18" spans="2:9">
      <c r="B18" s="2">
        <v>9</v>
      </c>
      <c r="C18" s="2" t="str">
        <f>INDEX(筛选计算!$A$2:$A$16,MATCH($B18,筛选计算!$L$2:$L$16,0))</f>
        <v>600699.SH</v>
      </c>
      <c r="D18" s="2" t="str">
        <f>INDEX(筛选计算!$B$2:$B$16,MATCH($B18,筛选计算!$L$2:$L$16,0))</f>
        <v>均胜电子</v>
      </c>
      <c r="E18" s="3">
        <f>INDEX(筛选计算!$C$2:$C$16,MATCH($B18,筛选计算!$L$2:$L$16,0))</f>
        <v>558.63577384669998</v>
      </c>
      <c r="F18" s="3">
        <f>INDEX(筛选计算!$D$2:$D$16,MATCH($B18,筛选计算!$L$2:$L$16,0))</f>
        <v>611.82688684660002</v>
      </c>
      <c r="G18" s="4">
        <f>INDEX(筛选计算!$E$2:$E$16,MATCH($B18,筛选计算!$L$2:$L$16,0))</f>
        <v>9.5216087995282361E-2</v>
      </c>
      <c r="H18" s="3">
        <f>INDEX(筛选计算!$F$2:$F$16,MATCH($B18,筛选计算!$L$2:$L$16,0))</f>
        <v>13.3581994191</v>
      </c>
      <c r="I18" s="3">
        <f>INDEX(筛选计算!$G$2:$G$16,MATCH($B18,筛选计算!$L$2:$L$16,0))</f>
        <v>53.980301868599994</v>
      </c>
    </row>
    <row r="19" spans="2:9">
      <c r="B19" s="5">
        <v>10</v>
      </c>
      <c r="C19" s="5" t="str">
        <f>INDEX(筛选计算!$A$2:$A$16,MATCH($B19,筛选计算!$L$2:$L$16,0))</f>
        <v>600066.SH</v>
      </c>
      <c r="D19" s="5" t="str">
        <f>INDEX(筛选计算!$B$2:$B$16,MATCH($B19,筛选计算!$L$2:$L$16,0))</f>
        <v>宇通客车</v>
      </c>
      <c r="E19" s="6">
        <f>INDEX(筛选计算!$C$2:$C$16,MATCH($B19,筛选计算!$L$2:$L$16,0))</f>
        <v>372.17586604069999</v>
      </c>
      <c r="F19" s="6">
        <f>INDEX(筛选计算!$D$2:$D$16,MATCH($B19,筛选计算!$L$2:$L$16,0))</f>
        <v>414.26173982339998</v>
      </c>
      <c r="G19" s="7">
        <f>INDEX(筛选计算!$E$2:$E$16,MATCH($B19,筛选计算!$L$2:$L$16,0))</f>
        <v>0.11308060952586757</v>
      </c>
      <c r="H19" s="6">
        <f>INDEX(筛选计算!$F$2:$F$16,MATCH($B19,筛选计算!$L$2:$L$16,0))</f>
        <v>55.544819708999995</v>
      </c>
      <c r="I19" s="6">
        <f>INDEX(筛选计算!$G$2:$G$16,MATCH($B19,筛选计算!$L$2:$L$16,0))</f>
        <v>31.966797782499999</v>
      </c>
    </row>
    <row r="21" spans="2:9" ht="15">
      <c r="B21" s="20" t="s">
        <v>17</v>
      </c>
      <c r="C21" s="19"/>
      <c r="D21" s="19"/>
      <c r="E21" s="19"/>
      <c r="F21" s="19"/>
      <c r="G21" s="19"/>
      <c r="H21" s="19"/>
      <c r="I21" s="19"/>
    </row>
  </sheetData>
  <mergeCells count="8">
    <mergeCell ref="B2:I2"/>
    <mergeCell ref="E5:F5"/>
    <mergeCell ref="B3:I3"/>
    <mergeCell ref="B6:C6"/>
    <mergeCell ref="E6:F6"/>
    <mergeCell ref="B21:I21"/>
    <mergeCell ref="B7:I7"/>
    <mergeCell ref="B5:C5"/>
  </mergeCells>
  <phoneticPr fontId="10" type="noConversion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6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35"/>
  <cols>
    <col min="1" max="1" width="16" customWidth="1"/>
    <col min="2" max="2" width="14" customWidth="1"/>
    <col min="3" max="4" width="21" customWidth="1"/>
    <col min="5" max="5" width="20" customWidth="1"/>
    <col min="6" max="6" width="23" customWidth="1"/>
    <col min="7" max="7" width="27" customWidth="1"/>
    <col min="8" max="8" width="16" customWidth="1"/>
    <col min="9" max="10" width="17" customWidth="1"/>
    <col min="11" max="11" width="16" customWidth="1"/>
    <col min="12" max="12" width="19" customWidth="1"/>
    <col min="13" max="13" width="45" customWidth="1"/>
    <col min="14" max="14" width="55" customWidth="1"/>
    <col min="15" max="15" width="18" customWidth="1"/>
    <col min="16" max="16" width="30" customWidth="1"/>
  </cols>
  <sheetData>
    <row r="1" spans="1:16" ht="42" customHeight="1">
      <c r="A1" s="8" t="s">
        <v>10</v>
      </c>
      <c r="B1" s="8" t="s">
        <v>11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  <c r="N1" s="8" t="s">
        <v>29</v>
      </c>
      <c r="O1" s="8" t="s">
        <v>30</v>
      </c>
      <c r="P1" s="8" t="s">
        <v>31</v>
      </c>
    </row>
    <row r="2" spans="1:16" ht="15.35">
      <c r="A2" s="9" t="str">
        <f>原始财务数据!A2</f>
        <v>002594.SZ</v>
      </c>
      <c r="B2" s="9" t="str">
        <f>原始财务数据!B2</f>
        <v>比亚迪</v>
      </c>
      <c r="C2" s="10">
        <f>IF(ISNUMBER(原始财务数据!G2),原始财务数据!G2/100000000,"")</f>
        <v>7771.0245500000001</v>
      </c>
      <c r="D2" s="10">
        <f>IF(ISNUMBER(原始财务数据!H2),原始财务数据!H2/100000000,"")</f>
        <v>8039.6495800000002</v>
      </c>
      <c r="E2" s="11">
        <f t="shared" ref="E2:E16" si="0">IF(OR(NOT(ISNUMBER(C2)),NOT(ISNUMBER(D2)),C2=0),"",(D2-C2)/ABS(C2))</f>
        <v>3.4567517869957078E-2</v>
      </c>
      <c r="F2" s="10">
        <f>IF(ISNUMBER(原始财务数据!N2),原始财务数据!N2/100000000,"")</f>
        <v>326.19022000000001</v>
      </c>
      <c r="G2" s="10">
        <f>IF(ISNUMBER(原始财务数据!P2),原始财务数据!P2/100000000,"")</f>
        <v>591.35544000000004</v>
      </c>
      <c r="H2" s="12" t="str">
        <f t="shared" ref="H2:H16" si="1">IF(NOT(ISNUMBER(D2)),"无法判定",IF(D2&gt;100,"通过","不通过"))</f>
        <v>通过</v>
      </c>
      <c r="I2" s="12" t="str">
        <f t="shared" ref="I2:I16" si="2">IF(NOT(ISNUMBER(F2)),"无法判定",IF(F2&gt;0,"通过","不通过"))</f>
        <v>通过</v>
      </c>
      <c r="J2" s="12" t="str">
        <f t="shared" ref="J2:J16" si="3">IF(NOT(ISNUMBER(G2)),"无法判定",IF(G2&gt;0,"通过","不通过"))</f>
        <v>通过</v>
      </c>
      <c r="K2" s="12" t="str">
        <f t="shared" ref="K2:K16" si="4">IF(OR(H2="无法判定",I2="无法判定",J2="无法判定"),"无法判定",IF(AND(H2="通过",I2="通过",J2="通过"),"符合","不符合"))</f>
        <v>符合</v>
      </c>
      <c r="L2" s="12">
        <f>IF(K2="符合",COUNTIFS($K$2:$K$16,"符合",$D$2:$D$16,"&gt;"&amp;D2)+COUNTIFS($K$2:K2,"符合",$D$2:D2,D2),"—")</f>
        <v>1</v>
      </c>
      <c r="M2" s="12" t="str">
        <f t="shared" ref="M2:M16" si="5">IF(K2="符合","入选：三项条件均通过",IF(K2="无法判定","无法判定：关键字段缺失","不符合："&amp;IF(H2="不通过","营收≤100亿元；","")&amp;IF(I2="不通过","归母净利润≤0；","")&amp;IF(J2="不通过","经营现金流≤0；","")))</f>
        <v>入选：三项条件均通过</v>
      </c>
      <c r="N2" s="12" t="s">
        <v>32</v>
      </c>
      <c r="O2" s="12" t="s">
        <v>33</v>
      </c>
      <c r="P2" s="12" t="s">
        <v>34</v>
      </c>
    </row>
    <row r="3" spans="1:16" ht="15.35">
      <c r="A3" s="9" t="str">
        <f>原始财务数据!A3</f>
        <v>600104.SH</v>
      </c>
      <c r="B3" s="9" t="str">
        <f>原始财务数据!B3</f>
        <v>上汽集团</v>
      </c>
      <c r="C3" s="10">
        <f>IF(ISNUMBER(原始财务数据!G3),原始财务数据!G3/100000000,"")</f>
        <v>6140.7406181813003</v>
      </c>
      <c r="D3" s="10">
        <f>IF(ISNUMBER(原始财务数据!H3),原始财务数据!H3/100000000,"")</f>
        <v>6461.5210188930005</v>
      </c>
      <c r="E3" s="11">
        <f t="shared" si="0"/>
        <v>5.2238063884663073E-2</v>
      </c>
      <c r="F3" s="10">
        <f>IF(ISNUMBER(原始财务数据!N3),原始财务数据!N3/100000000,"")</f>
        <v>101.05800270340001</v>
      </c>
      <c r="G3" s="10">
        <f>IF(ISNUMBER(原始财务数据!P3),原始财务数据!P3/100000000,"")</f>
        <v>343.0660190598</v>
      </c>
      <c r="H3" s="12" t="str">
        <f t="shared" si="1"/>
        <v>通过</v>
      </c>
      <c r="I3" s="12" t="str">
        <f t="shared" si="2"/>
        <v>通过</v>
      </c>
      <c r="J3" s="12" t="str">
        <f t="shared" si="3"/>
        <v>通过</v>
      </c>
      <c r="K3" s="12" t="str">
        <f t="shared" si="4"/>
        <v>符合</v>
      </c>
      <c r="L3" s="12">
        <f>IF(K3="符合",COUNTIFS($K$2:$K$16,"符合",$D$2:$D$16,"&gt;"&amp;D3)+COUNTIFS($K$2:K3,"符合",$D$2:D3,D3),"—")</f>
        <v>2</v>
      </c>
      <c r="M3" s="12" t="str">
        <f t="shared" si="5"/>
        <v>入选：三项条件均通过</v>
      </c>
      <c r="N3" s="12" t="s">
        <v>32</v>
      </c>
      <c r="O3" s="12" t="s">
        <v>33</v>
      </c>
      <c r="P3" s="12" t="s">
        <v>34</v>
      </c>
    </row>
    <row r="4" spans="1:16" ht="15.35">
      <c r="A4" s="9" t="str">
        <f>原始财务数据!A4</f>
        <v>000625.SZ</v>
      </c>
      <c r="B4" s="9" t="str">
        <f>原始财务数据!B4</f>
        <v>长安汽车</v>
      </c>
      <c r="C4" s="10">
        <f>IF(ISNUMBER(原始财务数据!G4),原始财务数据!G4/100000000,"")</f>
        <v>1597.3303421324999</v>
      </c>
      <c r="D4" s="10">
        <f>IF(ISNUMBER(原始财务数据!H4),原始财务数据!H4/100000000,"")</f>
        <v>1639.9980387587</v>
      </c>
      <c r="E4" s="11">
        <f t="shared" si="0"/>
        <v>2.6711880129464616E-2</v>
      </c>
      <c r="F4" s="10">
        <f>IF(ISNUMBER(原始财务数据!N4),原始财务数据!N4/100000000,"")</f>
        <v>40.752231815400002</v>
      </c>
      <c r="G4" s="10">
        <f>IF(ISNUMBER(原始财务数据!P4),原始财务数据!P4/100000000,"")</f>
        <v>18.356733585600001</v>
      </c>
      <c r="H4" s="12" t="str">
        <f t="shared" si="1"/>
        <v>通过</v>
      </c>
      <c r="I4" s="12" t="str">
        <f t="shared" si="2"/>
        <v>通过</v>
      </c>
      <c r="J4" s="12" t="str">
        <f t="shared" si="3"/>
        <v>通过</v>
      </c>
      <c r="K4" s="12" t="str">
        <f t="shared" si="4"/>
        <v>符合</v>
      </c>
      <c r="L4" s="12">
        <f>IF(K4="符合",COUNTIFS($K$2:$K$16,"符合",$D$2:$D$16,"&gt;"&amp;D4)+COUNTIFS($K$2:K4,"符合",$D$2:D4,D4),"—")</f>
        <v>7</v>
      </c>
      <c r="M4" s="12" t="str">
        <f t="shared" si="5"/>
        <v>入选：三项条件均通过</v>
      </c>
      <c r="N4" s="12" t="s">
        <v>32</v>
      </c>
      <c r="O4" s="12" t="s">
        <v>33</v>
      </c>
      <c r="P4" s="12" t="s">
        <v>34</v>
      </c>
    </row>
    <row r="5" spans="1:16" ht="15.35">
      <c r="A5" s="9" t="str">
        <f>原始财务数据!A5</f>
        <v>601633.SH</v>
      </c>
      <c r="B5" s="9" t="str">
        <f>原始财务数据!B5</f>
        <v>长城汽车</v>
      </c>
      <c r="C5" s="10">
        <f>IF(ISNUMBER(原始财务数据!G5),原始财务数据!G5/100000000,"")</f>
        <v>2021.9547233488001</v>
      </c>
      <c r="D5" s="10">
        <f>IF(ISNUMBER(原始财务数据!H5),原始财务数据!H5/100000000,"")</f>
        <v>2228.2423851624999</v>
      </c>
      <c r="E5" s="11">
        <f t="shared" si="0"/>
        <v>0.10202387789971981</v>
      </c>
      <c r="F5" s="10">
        <f>IF(ISNUMBER(原始财务数据!N5),原始财务数据!N5/100000000,"")</f>
        <v>98.6528019016</v>
      </c>
      <c r="G5" s="10">
        <f>IF(ISNUMBER(原始财务数据!P5),原始财务数据!P5/100000000,"")</f>
        <v>403.55401297930001</v>
      </c>
      <c r="H5" s="12" t="str">
        <f t="shared" si="1"/>
        <v>通过</v>
      </c>
      <c r="I5" s="12" t="str">
        <f t="shared" si="2"/>
        <v>通过</v>
      </c>
      <c r="J5" s="12" t="str">
        <f t="shared" si="3"/>
        <v>通过</v>
      </c>
      <c r="K5" s="12" t="str">
        <f t="shared" si="4"/>
        <v>符合</v>
      </c>
      <c r="L5" s="12">
        <f>IF(K5="符合",COUNTIFS($K$2:$K$16,"符合",$D$2:$D$16,"&gt;"&amp;D5)+COUNTIFS($K$2:K5,"符合",$D$2:D5,D5),"—")</f>
        <v>4</v>
      </c>
      <c r="M5" s="12" t="str">
        <f t="shared" si="5"/>
        <v>入选：三项条件均通过</v>
      </c>
      <c r="N5" s="12" t="s">
        <v>32</v>
      </c>
      <c r="O5" s="12" t="s">
        <v>33</v>
      </c>
      <c r="P5" s="12" t="s">
        <v>34</v>
      </c>
    </row>
    <row r="6" spans="1:16" ht="15.35">
      <c r="A6" s="9" t="str">
        <f>原始财务数据!A6</f>
        <v>601238.SH</v>
      </c>
      <c r="B6" s="9" t="str">
        <f>原始财务数据!B6</f>
        <v>广汽集团</v>
      </c>
      <c r="C6" s="10">
        <f>IF(ISNUMBER(原始财务数据!G6),原始财务数据!G6/100000000,"")</f>
        <v>1067.9785922799999</v>
      </c>
      <c r="D6" s="10">
        <f>IF(ISNUMBER(原始财务数据!H6),原始财务数据!H6/100000000,"")</f>
        <v>956.61525529999994</v>
      </c>
      <c r="E6" s="11">
        <f t="shared" si="0"/>
        <v>-0.10427487759118212</v>
      </c>
      <c r="F6" s="10">
        <f>IF(ISNUMBER(原始财务数据!N6),原始财务数据!N6/100000000,"")</f>
        <v>-87.836212430000003</v>
      </c>
      <c r="G6" s="10">
        <f>IF(ISNUMBER(原始财务数据!P6),原始财务数据!P6/100000000,"")</f>
        <v>-150.26294544000001</v>
      </c>
      <c r="H6" s="12" t="str">
        <f t="shared" si="1"/>
        <v>通过</v>
      </c>
      <c r="I6" s="12" t="str">
        <f t="shared" si="2"/>
        <v>不通过</v>
      </c>
      <c r="J6" s="12" t="str">
        <f t="shared" si="3"/>
        <v>不通过</v>
      </c>
      <c r="K6" s="12" t="str">
        <f t="shared" si="4"/>
        <v>不符合</v>
      </c>
      <c r="L6" s="12" t="str">
        <f>IF(K6="符合",COUNTIFS($K$2:$K$16,"符合",$D$2:$D$16,"&gt;"&amp;D6)+COUNTIFS($K$2:K6,"符合",$D$2:D6,D6),"—")</f>
        <v>—</v>
      </c>
      <c r="M6" s="12" t="str">
        <f t="shared" si="5"/>
        <v>不符合：归母净利润≤0；经营现金流≤0；</v>
      </c>
      <c r="N6" s="12" t="s">
        <v>32</v>
      </c>
      <c r="O6" s="12" t="s">
        <v>33</v>
      </c>
      <c r="P6" s="12" t="s">
        <v>34</v>
      </c>
    </row>
    <row r="7" spans="1:16" ht="15.35">
      <c r="A7" s="9" t="str">
        <f>原始财务数据!A7</f>
        <v>601127.SH</v>
      </c>
      <c r="B7" s="9" t="str">
        <f>原始财务数据!B7</f>
        <v>赛力斯</v>
      </c>
      <c r="C7" s="10">
        <f>IF(ISNUMBER(原始财务数据!G7),原始财务数据!G7/100000000,"")</f>
        <v>1451.7582205379001</v>
      </c>
      <c r="D7" s="10">
        <f>IF(ISNUMBER(原始财务数据!H7),原始财务数据!H7/100000000,"")</f>
        <v>1650.5363663913001</v>
      </c>
      <c r="E7" s="11">
        <f t="shared" si="0"/>
        <v>0.13692234908079218</v>
      </c>
      <c r="F7" s="10">
        <f>IF(ISNUMBER(原始财务数据!N7),原始财务数据!N7/100000000,"")</f>
        <v>59.5678744991</v>
      </c>
      <c r="G7" s="10">
        <f>IF(ISNUMBER(原始财务数据!P7),原始财务数据!P7/100000000,"")</f>
        <v>289.13743329240003</v>
      </c>
      <c r="H7" s="12" t="str">
        <f t="shared" si="1"/>
        <v>通过</v>
      </c>
      <c r="I7" s="12" t="str">
        <f t="shared" si="2"/>
        <v>通过</v>
      </c>
      <c r="J7" s="12" t="str">
        <f t="shared" si="3"/>
        <v>通过</v>
      </c>
      <c r="K7" s="12" t="str">
        <f t="shared" si="4"/>
        <v>符合</v>
      </c>
      <c r="L7" s="12">
        <f>IF(K7="符合",COUNTIFS($K$2:$K$16,"符合",$D$2:$D$16,"&gt;"&amp;D7)+COUNTIFS($K$2:K7,"符合",$D$2:D7,D7),"—")</f>
        <v>6</v>
      </c>
      <c r="M7" s="12" t="str">
        <f t="shared" si="5"/>
        <v>入选：三项条件均通过</v>
      </c>
      <c r="N7" s="12" t="s">
        <v>32</v>
      </c>
      <c r="O7" s="12" t="s">
        <v>33</v>
      </c>
      <c r="P7" s="12" t="s">
        <v>34</v>
      </c>
    </row>
    <row r="8" spans="1:16" ht="15.35">
      <c r="A8" s="9" t="str">
        <f>原始财务数据!A8</f>
        <v>600418.SH</v>
      </c>
      <c r="B8" s="9" t="str">
        <f>原始财务数据!B8</f>
        <v>江淮汽车</v>
      </c>
      <c r="C8" s="10">
        <f>IF(ISNUMBER(原始财务数据!G8),原始财务数据!G8/100000000,"")</f>
        <v>421.1589183076</v>
      </c>
      <c r="D8" s="10">
        <f>IF(ISNUMBER(原始财务数据!H8),原始财务数据!H8/100000000,"")</f>
        <v>464.75720851550005</v>
      </c>
      <c r="E8" s="11">
        <f t="shared" si="0"/>
        <v>0.10351980763721441</v>
      </c>
      <c r="F8" s="10">
        <f>IF(ISNUMBER(原始财务数据!N8),原始财务数据!N8/100000000,"")</f>
        <v>-17.025735144000002</v>
      </c>
      <c r="G8" s="10">
        <f>IF(ISNUMBER(原始财务数据!P8),原始财务数据!P8/100000000,"")</f>
        <v>33.946543306300001</v>
      </c>
      <c r="H8" s="12" t="str">
        <f t="shared" si="1"/>
        <v>通过</v>
      </c>
      <c r="I8" s="12" t="str">
        <f t="shared" si="2"/>
        <v>不通过</v>
      </c>
      <c r="J8" s="12" t="str">
        <f t="shared" si="3"/>
        <v>通过</v>
      </c>
      <c r="K8" s="12" t="str">
        <f t="shared" si="4"/>
        <v>不符合</v>
      </c>
      <c r="L8" s="12" t="str">
        <f>IF(K8="符合",COUNTIFS($K$2:$K$16,"符合",$D$2:$D$16,"&gt;"&amp;D8)+COUNTIFS($K$2:K8,"符合",$D$2:D8,D8),"—")</f>
        <v>—</v>
      </c>
      <c r="M8" s="12" t="str">
        <f t="shared" si="5"/>
        <v>不符合：归母净利润≤0；</v>
      </c>
      <c r="N8" s="12" t="s">
        <v>32</v>
      </c>
      <c r="O8" s="12" t="s">
        <v>33</v>
      </c>
      <c r="P8" s="12" t="s">
        <v>34</v>
      </c>
    </row>
    <row r="9" spans="1:16" ht="15.35">
      <c r="A9" s="9" t="str">
        <f>原始财务数据!A9</f>
        <v>000550.SZ</v>
      </c>
      <c r="B9" s="9" t="str">
        <f>原始财务数据!B9</f>
        <v>江铃汽车</v>
      </c>
      <c r="C9" s="10">
        <f>IF(ISNUMBER(原始财务数据!G9),原始财务数据!G9/100000000,"")</f>
        <v>383.74160748000003</v>
      </c>
      <c r="D9" s="10">
        <f>IF(ISNUMBER(原始财务数据!H9),原始财务数据!H9/100000000,"")</f>
        <v>391.69909928999999</v>
      </c>
      <c r="E9" s="11">
        <f t="shared" si="0"/>
        <v>2.0736588513964298E-2</v>
      </c>
      <c r="F9" s="10">
        <f>IF(ISNUMBER(原始财务数据!N9),原始财务数据!N9/100000000,"")</f>
        <v>11.874657190000001</v>
      </c>
      <c r="G9" s="10">
        <f>IF(ISNUMBER(原始财务数据!P9),原始财务数据!P9/100000000,"")</f>
        <v>24.119112900000001</v>
      </c>
      <c r="H9" s="12" t="str">
        <f t="shared" si="1"/>
        <v>通过</v>
      </c>
      <c r="I9" s="12" t="str">
        <f t="shared" si="2"/>
        <v>通过</v>
      </c>
      <c r="J9" s="12" t="str">
        <f t="shared" si="3"/>
        <v>通过</v>
      </c>
      <c r="K9" s="12" t="str">
        <f t="shared" si="4"/>
        <v>符合</v>
      </c>
      <c r="L9" s="12">
        <f>IF(K9="符合",COUNTIFS($K$2:$K$16,"符合",$D$2:$D$16,"&gt;"&amp;D9)+COUNTIFS($K$2:K9,"符合",$D$2:D9,D9),"—")</f>
        <v>11</v>
      </c>
      <c r="M9" s="12" t="str">
        <f t="shared" si="5"/>
        <v>入选：三项条件均通过</v>
      </c>
      <c r="N9" s="12" t="s">
        <v>32</v>
      </c>
      <c r="O9" s="12" t="s">
        <v>33</v>
      </c>
      <c r="P9" s="12" t="s">
        <v>34</v>
      </c>
    </row>
    <row r="10" spans="1:16" ht="15.35">
      <c r="A10" s="9" t="str">
        <f>原始财务数据!A10</f>
        <v>600066.SH</v>
      </c>
      <c r="B10" s="9" t="str">
        <f>原始财务数据!B10</f>
        <v>宇通客车</v>
      </c>
      <c r="C10" s="10">
        <f>IF(ISNUMBER(原始财务数据!G10),原始财务数据!G10/100000000,"")</f>
        <v>372.17586604069999</v>
      </c>
      <c r="D10" s="10">
        <f>IF(ISNUMBER(原始财务数据!H10),原始财务数据!H10/100000000,"")</f>
        <v>414.26173982339998</v>
      </c>
      <c r="E10" s="11">
        <f t="shared" si="0"/>
        <v>0.11308060952586757</v>
      </c>
      <c r="F10" s="10">
        <f>IF(ISNUMBER(原始财务数据!N10),原始财务数据!N10/100000000,"")</f>
        <v>55.544819708999995</v>
      </c>
      <c r="G10" s="10">
        <f>IF(ISNUMBER(原始财务数据!P10),原始财务数据!P10/100000000,"")</f>
        <v>31.966797782499999</v>
      </c>
      <c r="H10" s="12" t="str">
        <f t="shared" si="1"/>
        <v>通过</v>
      </c>
      <c r="I10" s="12" t="str">
        <f t="shared" si="2"/>
        <v>通过</v>
      </c>
      <c r="J10" s="12" t="str">
        <f t="shared" si="3"/>
        <v>通过</v>
      </c>
      <c r="K10" s="12" t="str">
        <f t="shared" si="4"/>
        <v>符合</v>
      </c>
      <c r="L10" s="12">
        <f>IF(K10="符合",COUNTIFS($K$2:$K$16,"符合",$D$2:$D$16,"&gt;"&amp;D10)+COUNTIFS($K$2:K10,"符合",$D$2:D10,D10),"—")</f>
        <v>10</v>
      </c>
      <c r="M10" s="12" t="str">
        <f t="shared" si="5"/>
        <v>入选：三项条件均通过</v>
      </c>
      <c r="N10" s="12" t="s">
        <v>32</v>
      </c>
      <c r="O10" s="12" t="s">
        <v>33</v>
      </c>
      <c r="P10" s="12" t="s">
        <v>34</v>
      </c>
    </row>
    <row r="11" spans="1:16" ht="15.35">
      <c r="A11" s="9" t="str">
        <f>原始财务数据!A11</f>
        <v>600166.SH</v>
      </c>
      <c r="B11" s="9" t="str">
        <f>原始财务数据!B11</f>
        <v>福田汽车</v>
      </c>
      <c r="C11" s="10">
        <f>IF(ISNUMBER(原始财务数据!G11),原始财务数据!G11/100000000,"")</f>
        <v>476.97540240429998</v>
      </c>
      <c r="D11" s="10">
        <f>IF(ISNUMBER(原始财务数据!H11),原始财务数据!H11/100000000,"")</f>
        <v>612.47393438929998</v>
      </c>
      <c r="E11" s="11">
        <f t="shared" si="0"/>
        <v>0.28407865751984207</v>
      </c>
      <c r="F11" s="10">
        <f>IF(ISNUMBER(原始财务数据!N11),原始财务数据!N11/100000000,"")</f>
        <v>13.638268014500001</v>
      </c>
      <c r="G11" s="10">
        <f>IF(ISNUMBER(原始财务数据!P11),原始财务数据!P11/100000000,"")</f>
        <v>18.945981934999999</v>
      </c>
      <c r="H11" s="12" t="str">
        <f t="shared" si="1"/>
        <v>通过</v>
      </c>
      <c r="I11" s="12" t="str">
        <f t="shared" si="2"/>
        <v>通过</v>
      </c>
      <c r="J11" s="12" t="str">
        <f t="shared" si="3"/>
        <v>通过</v>
      </c>
      <c r="K11" s="12" t="str">
        <f t="shared" si="4"/>
        <v>符合</v>
      </c>
      <c r="L11" s="12">
        <f>IF(K11="符合",COUNTIFS($K$2:$K$16,"符合",$D$2:$D$16,"&gt;"&amp;D11)+COUNTIFS($K$2:K11,"符合",$D$2:D11,D11),"—")</f>
        <v>8</v>
      </c>
      <c r="M11" s="12" t="str">
        <f t="shared" si="5"/>
        <v>入选：三项条件均通过</v>
      </c>
      <c r="N11" s="12" t="s">
        <v>32</v>
      </c>
      <c r="O11" s="12" t="s">
        <v>33</v>
      </c>
      <c r="P11" s="12" t="s">
        <v>34</v>
      </c>
    </row>
    <row r="12" spans="1:16" ht="15.35">
      <c r="A12" s="9" t="str">
        <f>原始财务数据!A12</f>
        <v>000338.SZ</v>
      </c>
      <c r="B12" s="9" t="str">
        <f>原始财务数据!B12</f>
        <v>潍柴动力</v>
      </c>
      <c r="C12" s="10">
        <f>IF(ISNUMBER(原始财务数据!G12),原始财务数据!G12/100000000,"")</f>
        <v>2156.9050458982001</v>
      </c>
      <c r="D12" s="10">
        <f>IF(ISNUMBER(原始财务数据!H12),原始财务数据!H12/100000000,"")</f>
        <v>2318.0928110682003</v>
      </c>
      <c r="E12" s="11">
        <f t="shared" si="0"/>
        <v>7.4731043666726046E-2</v>
      </c>
      <c r="F12" s="10">
        <f>IF(ISNUMBER(原始财务数据!N12),原始财务数据!N12/100000000,"")</f>
        <v>109.30504451020001</v>
      </c>
      <c r="G12" s="10">
        <f>IF(ISNUMBER(原始财务数据!P12),原始财务数据!P12/100000000,"")</f>
        <v>286.81522296049997</v>
      </c>
      <c r="H12" s="12" t="str">
        <f t="shared" si="1"/>
        <v>通过</v>
      </c>
      <c r="I12" s="12" t="str">
        <f t="shared" si="2"/>
        <v>通过</v>
      </c>
      <c r="J12" s="12" t="str">
        <f t="shared" si="3"/>
        <v>通过</v>
      </c>
      <c r="K12" s="12" t="str">
        <f t="shared" si="4"/>
        <v>符合</v>
      </c>
      <c r="L12" s="12">
        <f>IF(K12="符合",COUNTIFS($K$2:$K$16,"符合",$D$2:$D$16,"&gt;"&amp;D12)+COUNTIFS($K$2:K12,"符合",$D$2:D12,D12),"—")</f>
        <v>3</v>
      </c>
      <c r="M12" s="12" t="str">
        <f t="shared" si="5"/>
        <v>入选：三项条件均通过</v>
      </c>
      <c r="N12" s="12" t="s">
        <v>32</v>
      </c>
      <c r="O12" s="12" t="s">
        <v>33</v>
      </c>
      <c r="P12" s="12" t="s">
        <v>34</v>
      </c>
    </row>
    <row r="13" spans="1:16" ht="15.35">
      <c r="A13" s="9" t="str">
        <f>原始财务数据!A13</f>
        <v>600741.SH</v>
      </c>
      <c r="B13" s="9" t="str">
        <f>原始财务数据!B13</f>
        <v>华域汽车</v>
      </c>
      <c r="C13" s="10">
        <f>IF(ISNUMBER(原始财务数据!G13),原始财务数据!G13/100000000,"")</f>
        <v>1688.5218383932001</v>
      </c>
      <c r="D13" s="10">
        <f>IF(ISNUMBER(原始财务数据!H13),原始财务数据!H13/100000000,"")</f>
        <v>1839.9890051366001</v>
      </c>
      <c r="E13" s="11">
        <f t="shared" si="0"/>
        <v>8.9704002222166304E-2</v>
      </c>
      <c r="F13" s="10">
        <f>IF(ISNUMBER(原始财务数据!N13),原始财务数据!N13/100000000,"")</f>
        <v>72.072681396099995</v>
      </c>
      <c r="G13" s="10">
        <f>IF(ISNUMBER(原始财务数据!P13),原始财务数据!P13/100000000,"")</f>
        <v>95.231027974699998</v>
      </c>
      <c r="H13" s="12" t="str">
        <f t="shared" si="1"/>
        <v>通过</v>
      </c>
      <c r="I13" s="12" t="str">
        <f t="shared" si="2"/>
        <v>通过</v>
      </c>
      <c r="J13" s="12" t="str">
        <f t="shared" si="3"/>
        <v>通过</v>
      </c>
      <c r="K13" s="12" t="str">
        <f t="shared" si="4"/>
        <v>符合</v>
      </c>
      <c r="L13" s="12">
        <f>IF(K13="符合",COUNTIFS($K$2:$K$16,"符合",$D$2:$D$16,"&gt;"&amp;D13)+COUNTIFS($K$2:K13,"符合",$D$2:D13,D13),"—")</f>
        <v>5</v>
      </c>
      <c r="M13" s="12" t="str">
        <f t="shared" si="5"/>
        <v>入选：三项条件均通过</v>
      </c>
      <c r="N13" s="12" t="s">
        <v>32</v>
      </c>
      <c r="O13" s="12" t="s">
        <v>33</v>
      </c>
      <c r="P13" s="12" t="s">
        <v>34</v>
      </c>
    </row>
    <row r="14" spans="1:16" ht="15.35">
      <c r="A14" s="9" t="str">
        <f>原始财务数据!A14</f>
        <v>601689.SH</v>
      </c>
      <c r="B14" s="9" t="str">
        <f>原始财务数据!B14</f>
        <v>拓普集团</v>
      </c>
      <c r="C14" s="10">
        <f>IF(ISNUMBER(原始财务数据!G14),原始财务数据!G14/100000000,"")</f>
        <v>266.00328450939998</v>
      </c>
      <c r="D14" s="10">
        <f>IF(ISNUMBER(原始财务数据!H14),原始财务数据!H14/100000000,"")</f>
        <v>295.8145867527</v>
      </c>
      <c r="E14" s="11">
        <f t="shared" si="0"/>
        <v>0.11207118099418262</v>
      </c>
      <c r="F14" s="10">
        <f>IF(ISNUMBER(原始财务数据!N14),原始财务数据!N14/100000000,"")</f>
        <v>27.790711033400001</v>
      </c>
      <c r="G14" s="10">
        <f>IF(ISNUMBER(原始财务数据!P14),原始财务数据!P14/100000000,"")</f>
        <v>44.820901282600005</v>
      </c>
      <c r="H14" s="12" t="str">
        <f t="shared" si="1"/>
        <v>通过</v>
      </c>
      <c r="I14" s="12" t="str">
        <f t="shared" si="2"/>
        <v>通过</v>
      </c>
      <c r="J14" s="12" t="str">
        <f t="shared" si="3"/>
        <v>通过</v>
      </c>
      <c r="K14" s="12" t="str">
        <f t="shared" si="4"/>
        <v>符合</v>
      </c>
      <c r="L14" s="12">
        <f>IF(K14="符合",COUNTIFS($K$2:$K$16,"符合",$D$2:$D$16,"&gt;"&amp;D14)+COUNTIFS($K$2:K14,"符合",$D$2:D14,D14),"—")</f>
        <v>13</v>
      </c>
      <c r="M14" s="12" t="str">
        <f t="shared" si="5"/>
        <v>入选：三项条件均通过</v>
      </c>
      <c r="N14" s="12" t="s">
        <v>32</v>
      </c>
      <c r="O14" s="12" t="s">
        <v>33</v>
      </c>
      <c r="P14" s="12" t="s">
        <v>34</v>
      </c>
    </row>
    <row r="15" spans="1:16" ht="15.35">
      <c r="A15" s="9" t="str">
        <f>原始财务数据!A15</f>
        <v>002920.SZ</v>
      </c>
      <c r="B15" s="9" t="str">
        <f>原始财务数据!B15</f>
        <v>德赛西威</v>
      </c>
      <c r="C15" s="10">
        <f>IF(ISNUMBER(原始财务数据!G15),原始财务数据!G15/100000000,"")</f>
        <v>276.18063792470002</v>
      </c>
      <c r="D15" s="10">
        <f>IF(ISNUMBER(原始财务数据!H15),原始财务数据!H15/100000000,"")</f>
        <v>325.57178348370002</v>
      </c>
      <c r="E15" s="11">
        <f t="shared" si="0"/>
        <v>0.17883638016820849</v>
      </c>
      <c r="F15" s="10">
        <f>IF(ISNUMBER(原始财务数据!N15),原始财务数据!N15/100000000,"")</f>
        <v>24.535847677500001</v>
      </c>
      <c r="G15" s="10">
        <f>IF(ISNUMBER(原始财务数据!P15),原始财务数据!P15/100000000,"")</f>
        <v>28.837611787300002</v>
      </c>
      <c r="H15" s="12" t="str">
        <f t="shared" si="1"/>
        <v>通过</v>
      </c>
      <c r="I15" s="12" t="str">
        <f t="shared" si="2"/>
        <v>通过</v>
      </c>
      <c r="J15" s="12" t="str">
        <f t="shared" si="3"/>
        <v>通过</v>
      </c>
      <c r="K15" s="12" t="str">
        <f t="shared" si="4"/>
        <v>符合</v>
      </c>
      <c r="L15" s="12">
        <f>IF(K15="符合",COUNTIFS($K$2:$K$16,"符合",$D$2:$D$16,"&gt;"&amp;D15)+COUNTIFS($K$2:K15,"符合",$D$2:D15,D15),"—")</f>
        <v>12</v>
      </c>
      <c r="M15" s="12" t="str">
        <f t="shared" si="5"/>
        <v>入选：三项条件均通过</v>
      </c>
      <c r="N15" s="12" t="s">
        <v>32</v>
      </c>
      <c r="O15" s="12" t="s">
        <v>33</v>
      </c>
      <c r="P15" s="12" t="s">
        <v>34</v>
      </c>
    </row>
    <row r="16" spans="1:16" ht="15.35">
      <c r="A16" s="9" t="str">
        <f>原始财务数据!A16</f>
        <v>600699.SH</v>
      </c>
      <c r="B16" s="9" t="str">
        <f>原始财务数据!B16</f>
        <v>均胜电子</v>
      </c>
      <c r="C16" s="10">
        <f>IF(ISNUMBER(原始财务数据!G16),原始财务数据!G16/100000000,"")</f>
        <v>558.63577384669998</v>
      </c>
      <c r="D16" s="10">
        <f>IF(ISNUMBER(原始财务数据!H16),原始财务数据!H16/100000000,"")</f>
        <v>611.82688684660002</v>
      </c>
      <c r="E16" s="11">
        <f t="shared" si="0"/>
        <v>9.5216087995282361E-2</v>
      </c>
      <c r="F16" s="10">
        <f>IF(ISNUMBER(原始财务数据!N16),原始财务数据!N16/100000000,"")</f>
        <v>13.3581994191</v>
      </c>
      <c r="G16" s="10">
        <f>IF(ISNUMBER(原始财务数据!P16),原始财务数据!P16/100000000,"")</f>
        <v>53.980301868599994</v>
      </c>
      <c r="H16" s="12" t="str">
        <f t="shared" si="1"/>
        <v>通过</v>
      </c>
      <c r="I16" s="12" t="str">
        <f t="shared" si="2"/>
        <v>通过</v>
      </c>
      <c r="J16" s="12" t="str">
        <f t="shared" si="3"/>
        <v>通过</v>
      </c>
      <c r="K16" s="12" t="str">
        <f t="shared" si="4"/>
        <v>符合</v>
      </c>
      <c r="L16" s="12">
        <f>IF(K16="符合",COUNTIFS($K$2:$K$16,"符合",$D$2:$D$16,"&gt;"&amp;D16)+COUNTIFS($K$2:K16,"符合",$D$2:D16,D16),"—")</f>
        <v>9</v>
      </c>
      <c r="M16" s="12" t="str">
        <f t="shared" si="5"/>
        <v>入选：三项条件均通过</v>
      </c>
      <c r="N16" s="12" t="s">
        <v>32</v>
      </c>
      <c r="O16" s="12" t="s">
        <v>33</v>
      </c>
      <c r="P16" s="12" t="s">
        <v>34</v>
      </c>
    </row>
  </sheetData>
  <autoFilter ref="A1:P16" xr:uid="{00000000-0009-0000-0000-000001000000}"/>
  <phoneticPr fontId="10" type="noConversion"/>
  <conditionalFormatting sqref="E2:E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6">
    <cfRule type="cellIs" dxfId="1" priority="1" operator="equal">
      <formula>"符合"</formula>
    </cfRule>
    <cfRule type="cellIs" dxfId="0" priority="2" operator="equal">
      <formula>"不符合"</formula>
    </cfRule>
  </conditionalFormatting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6"/>
  <sheetViews>
    <sheetView showGridLines="0"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35"/>
  <cols>
    <col min="1" max="1" width="16" customWidth="1"/>
    <col min="2" max="3" width="18" customWidth="1"/>
    <col min="4" max="4" width="12" customWidth="1"/>
    <col min="5" max="6" width="14" customWidth="1"/>
    <col min="7" max="16" width="23" customWidth="1"/>
    <col min="17" max="20" width="43" customWidth="1"/>
    <col min="21" max="21" width="36" customWidth="1"/>
    <col min="22" max="22" width="18" customWidth="1"/>
    <col min="23" max="23" width="30" customWidth="1"/>
  </cols>
  <sheetData>
    <row r="1" spans="1:23" ht="44" customHeight="1">
      <c r="A1" s="8" t="s">
        <v>10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  <c r="M1" s="8" t="s">
        <v>46</v>
      </c>
      <c r="N1" s="8" t="s">
        <v>47</v>
      </c>
      <c r="O1" s="8" t="s">
        <v>48</v>
      </c>
      <c r="P1" s="8" t="s">
        <v>49</v>
      </c>
      <c r="Q1" s="8" t="s">
        <v>50</v>
      </c>
      <c r="R1" s="8" t="s">
        <v>51</v>
      </c>
      <c r="S1" s="8" t="s">
        <v>52</v>
      </c>
      <c r="T1" s="8" t="s">
        <v>53</v>
      </c>
      <c r="U1" s="8" t="s">
        <v>54</v>
      </c>
      <c r="V1" s="8" t="s">
        <v>30</v>
      </c>
      <c r="W1" s="8" t="s">
        <v>31</v>
      </c>
    </row>
    <row r="2" spans="1:23" ht="15.35">
      <c r="A2" s="13" t="s">
        <v>55</v>
      </c>
      <c r="B2" s="13" t="s">
        <v>56</v>
      </c>
      <c r="C2" s="13" t="s">
        <v>56</v>
      </c>
      <c r="D2" s="13" t="s">
        <v>57</v>
      </c>
      <c r="E2" s="13" t="s">
        <v>58</v>
      </c>
      <c r="F2" s="13" t="s">
        <v>59</v>
      </c>
      <c r="G2" s="14">
        <v>777102455000</v>
      </c>
      <c r="H2" s="14">
        <v>803964958000</v>
      </c>
      <c r="I2" s="14">
        <v>777102455000</v>
      </c>
      <c r="J2" s="14">
        <v>803964958000</v>
      </c>
      <c r="K2" s="14">
        <v>41587940000</v>
      </c>
      <c r="L2" s="14">
        <v>33760758000</v>
      </c>
      <c r="M2" s="14">
        <v>40254346000</v>
      </c>
      <c r="N2" s="14">
        <v>32619022000</v>
      </c>
      <c r="O2" s="14">
        <v>133453873000</v>
      </c>
      <c r="P2" s="14">
        <v>59135544000</v>
      </c>
      <c r="Q2" s="13" t="s">
        <v>60</v>
      </c>
      <c r="R2" s="13" t="s">
        <v>61</v>
      </c>
      <c r="S2" s="13" t="s">
        <v>62</v>
      </c>
      <c r="T2" s="13" t="s">
        <v>63</v>
      </c>
      <c r="U2" s="13" t="s">
        <v>64</v>
      </c>
      <c r="V2" s="13" t="s">
        <v>33</v>
      </c>
      <c r="W2" s="13" t="s">
        <v>34</v>
      </c>
    </row>
    <row r="3" spans="1:23" ht="15.35">
      <c r="A3" s="13" t="s">
        <v>65</v>
      </c>
      <c r="B3" s="13" t="s">
        <v>66</v>
      </c>
      <c r="C3" s="13" t="s">
        <v>66</v>
      </c>
      <c r="D3" s="13" t="s">
        <v>57</v>
      </c>
      <c r="E3" s="13" t="s">
        <v>58</v>
      </c>
      <c r="F3" s="13" t="s">
        <v>59</v>
      </c>
      <c r="G3" s="14">
        <v>614074061818.13</v>
      </c>
      <c r="H3" s="14">
        <v>646152101889.30005</v>
      </c>
      <c r="I3" s="14">
        <v>627589946567.68994</v>
      </c>
      <c r="J3" s="14">
        <v>656243812081.18005</v>
      </c>
      <c r="K3" s="14">
        <v>5833321330.3100004</v>
      </c>
      <c r="L3" s="14">
        <v>17443923842.459999</v>
      </c>
      <c r="M3" s="14">
        <v>1666376761.0699999</v>
      </c>
      <c r="N3" s="14">
        <v>10105800270.34</v>
      </c>
      <c r="O3" s="14">
        <v>69267789561.240005</v>
      </c>
      <c r="P3" s="14">
        <v>34306601905.98</v>
      </c>
      <c r="Q3" s="13" t="s">
        <v>60</v>
      </c>
      <c r="R3" s="13" t="s">
        <v>61</v>
      </c>
      <c r="S3" s="13" t="s">
        <v>62</v>
      </c>
      <c r="T3" s="13" t="s">
        <v>63</v>
      </c>
      <c r="U3" s="13" t="s">
        <v>64</v>
      </c>
      <c r="V3" s="13" t="s">
        <v>33</v>
      </c>
      <c r="W3" s="13" t="s">
        <v>34</v>
      </c>
    </row>
    <row r="4" spans="1:23" ht="15.35">
      <c r="A4" s="13" t="s">
        <v>67</v>
      </c>
      <c r="B4" s="13" t="s">
        <v>68</v>
      </c>
      <c r="C4" s="13" t="s">
        <v>68</v>
      </c>
      <c r="D4" s="13" t="s">
        <v>57</v>
      </c>
      <c r="E4" s="13" t="s">
        <v>58</v>
      </c>
      <c r="F4" s="13" t="s">
        <v>59</v>
      </c>
      <c r="G4" s="14">
        <v>159733034213.25</v>
      </c>
      <c r="H4" s="14">
        <v>163999803875.87</v>
      </c>
      <c r="I4" s="14">
        <v>159733034213.25</v>
      </c>
      <c r="J4" s="14">
        <v>163999803875.87</v>
      </c>
      <c r="K4" s="14">
        <v>6104174527.8500004</v>
      </c>
      <c r="L4" s="14">
        <v>3167491835.1500001</v>
      </c>
      <c r="M4" s="14">
        <v>7321363897.2399998</v>
      </c>
      <c r="N4" s="14">
        <v>4075223181.54</v>
      </c>
      <c r="O4" s="14">
        <v>4849398813.1400003</v>
      </c>
      <c r="P4" s="14">
        <v>1835673358.5599999</v>
      </c>
      <c r="Q4" s="13" t="s">
        <v>60</v>
      </c>
      <c r="R4" s="13" t="s">
        <v>61</v>
      </c>
      <c r="S4" s="13" t="s">
        <v>62</v>
      </c>
      <c r="T4" s="13" t="s">
        <v>63</v>
      </c>
      <c r="U4" s="13" t="s">
        <v>64</v>
      </c>
      <c r="V4" s="13" t="s">
        <v>33</v>
      </c>
      <c r="W4" s="13" t="s">
        <v>34</v>
      </c>
    </row>
    <row r="5" spans="1:23" ht="15.35">
      <c r="A5" s="13" t="s">
        <v>69</v>
      </c>
      <c r="B5" s="13" t="s">
        <v>70</v>
      </c>
      <c r="C5" s="13" t="s">
        <v>70</v>
      </c>
      <c r="D5" s="13" t="s">
        <v>57</v>
      </c>
      <c r="E5" s="13" t="s">
        <v>58</v>
      </c>
      <c r="F5" s="13" t="s">
        <v>59</v>
      </c>
      <c r="G5" s="14">
        <v>202195472334.88</v>
      </c>
      <c r="H5" s="14">
        <v>222824238516.25</v>
      </c>
      <c r="I5" s="14">
        <v>202195472334.88</v>
      </c>
      <c r="J5" s="14">
        <v>222824238516.25</v>
      </c>
      <c r="K5" s="14">
        <v>12692439329.49</v>
      </c>
      <c r="L5" s="14">
        <v>9865280190.1599998</v>
      </c>
      <c r="M5" s="14">
        <v>12692204172.58</v>
      </c>
      <c r="N5" s="14">
        <v>9865280190.1599998</v>
      </c>
      <c r="O5" s="14">
        <v>27782626338.16</v>
      </c>
      <c r="P5" s="14">
        <v>40355401297.93</v>
      </c>
      <c r="Q5" s="13" t="s">
        <v>71</v>
      </c>
      <c r="R5" s="13" t="s">
        <v>72</v>
      </c>
      <c r="S5" s="13" t="s">
        <v>73</v>
      </c>
      <c r="T5" s="13" t="s">
        <v>74</v>
      </c>
      <c r="U5" s="13" t="s">
        <v>75</v>
      </c>
      <c r="V5" s="13" t="s">
        <v>33</v>
      </c>
      <c r="W5" s="13" t="s">
        <v>34</v>
      </c>
    </row>
    <row r="6" spans="1:23" ht="15.35">
      <c r="A6" s="13" t="s">
        <v>76</v>
      </c>
      <c r="B6" s="13" t="s">
        <v>77</v>
      </c>
      <c r="C6" s="13" t="s">
        <v>77</v>
      </c>
      <c r="D6" s="13" t="s">
        <v>57</v>
      </c>
      <c r="E6" s="13" t="s">
        <v>58</v>
      </c>
      <c r="F6" s="13" t="s">
        <v>59</v>
      </c>
      <c r="G6" s="14">
        <v>106797859228</v>
      </c>
      <c r="H6" s="14">
        <v>95661525530</v>
      </c>
      <c r="I6" s="14">
        <v>107783806936</v>
      </c>
      <c r="J6" s="14">
        <v>96542390397</v>
      </c>
      <c r="K6" s="14">
        <v>-494043219</v>
      </c>
      <c r="L6" s="14">
        <v>-11481727514</v>
      </c>
      <c r="M6" s="14">
        <v>823581893</v>
      </c>
      <c r="N6" s="14">
        <v>-8783621243</v>
      </c>
      <c r="O6" s="14">
        <v>10918597387</v>
      </c>
      <c r="P6" s="14">
        <v>-15026294544</v>
      </c>
      <c r="Q6" s="13" t="s">
        <v>71</v>
      </c>
      <c r="R6" s="13" t="s">
        <v>72</v>
      </c>
      <c r="S6" s="13" t="s">
        <v>73</v>
      </c>
      <c r="T6" s="13" t="s">
        <v>74</v>
      </c>
      <c r="U6" s="13" t="s">
        <v>75</v>
      </c>
      <c r="V6" s="13" t="s">
        <v>33</v>
      </c>
      <c r="W6" s="13" t="s">
        <v>34</v>
      </c>
    </row>
    <row r="7" spans="1:23" ht="15.35">
      <c r="A7" s="13" t="s">
        <v>78</v>
      </c>
      <c r="B7" s="13" t="s">
        <v>79</v>
      </c>
      <c r="C7" s="13" t="s">
        <v>79</v>
      </c>
      <c r="D7" s="13" t="s">
        <v>57</v>
      </c>
      <c r="E7" s="13" t="s">
        <v>58</v>
      </c>
      <c r="F7" s="13" t="s">
        <v>59</v>
      </c>
      <c r="G7" s="14">
        <v>145175822053.79001</v>
      </c>
      <c r="H7" s="14">
        <v>165053636639.13</v>
      </c>
      <c r="I7" s="14">
        <v>145175822053.79001</v>
      </c>
      <c r="J7" s="14">
        <v>165053636639.13</v>
      </c>
      <c r="K7" s="14">
        <v>4740116433.25</v>
      </c>
      <c r="L7" s="14">
        <v>6146739812.8999996</v>
      </c>
      <c r="M7" s="14">
        <v>5945945362.8199997</v>
      </c>
      <c r="N7" s="14">
        <v>5956787449.9099998</v>
      </c>
      <c r="O7" s="14">
        <v>22515265144.169998</v>
      </c>
      <c r="P7" s="14">
        <v>28913743329.240002</v>
      </c>
      <c r="Q7" s="13" t="s">
        <v>71</v>
      </c>
      <c r="R7" s="13" t="s">
        <v>72</v>
      </c>
      <c r="S7" s="13" t="s">
        <v>73</v>
      </c>
      <c r="T7" s="13" t="s">
        <v>74</v>
      </c>
      <c r="U7" s="13" t="s">
        <v>75</v>
      </c>
      <c r="V7" s="13" t="s">
        <v>33</v>
      </c>
      <c r="W7" s="13" t="s">
        <v>34</v>
      </c>
    </row>
    <row r="8" spans="1:23" ht="15.35">
      <c r="A8" s="13" t="s">
        <v>80</v>
      </c>
      <c r="B8" s="13" t="s">
        <v>81</v>
      </c>
      <c r="C8" s="13" t="s">
        <v>81</v>
      </c>
      <c r="D8" s="13" t="s">
        <v>57</v>
      </c>
      <c r="E8" s="13" t="s">
        <v>58</v>
      </c>
      <c r="F8" s="13" t="s">
        <v>59</v>
      </c>
      <c r="G8" s="14">
        <v>42115891830.760002</v>
      </c>
      <c r="H8" s="14">
        <v>46475720851.550003</v>
      </c>
      <c r="I8" s="14">
        <v>42202286557.43</v>
      </c>
      <c r="J8" s="14">
        <v>46568671058.980003</v>
      </c>
      <c r="K8" s="14">
        <v>-1993516750.29</v>
      </c>
      <c r="L8" s="14">
        <v>-1771515247.9100001</v>
      </c>
      <c r="M8" s="14">
        <v>-1784160025.23</v>
      </c>
      <c r="N8" s="14">
        <v>-1702573514.4000001</v>
      </c>
      <c r="O8" s="14">
        <v>2711472553.8099999</v>
      </c>
      <c r="P8" s="14">
        <v>3394654330.6300001</v>
      </c>
      <c r="Q8" s="13" t="s">
        <v>82</v>
      </c>
      <c r="R8" s="13" t="s">
        <v>83</v>
      </c>
      <c r="S8" s="13" t="s">
        <v>84</v>
      </c>
      <c r="T8" s="13" t="s">
        <v>85</v>
      </c>
      <c r="U8" s="13" t="s">
        <v>86</v>
      </c>
      <c r="V8" s="13" t="s">
        <v>33</v>
      </c>
      <c r="W8" s="13" t="s">
        <v>34</v>
      </c>
    </row>
    <row r="9" spans="1:23" ht="15.35">
      <c r="A9" s="13" t="s">
        <v>87</v>
      </c>
      <c r="B9" s="13" t="s">
        <v>88</v>
      </c>
      <c r="C9" s="13" t="s">
        <v>88</v>
      </c>
      <c r="D9" s="13" t="s">
        <v>57</v>
      </c>
      <c r="E9" s="13" t="s">
        <v>58</v>
      </c>
      <c r="F9" s="13" t="s">
        <v>59</v>
      </c>
      <c r="G9" s="14">
        <v>38374160748</v>
      </c>
      <c r="H9" s="14">
        <v>39169909929</v>
      </c>
      <c r="I9" s="14">
        <v>38374160748</v>
      </c>
      <c r="J9" s="14">
        <v>39169909929</v>
      </c>
      <c r="K9" s="14">
        <v>1205176809</v>
      </c>
      <c r="L9" s="14">
        <v>819372718</v>
      </c>
      <c r="M9" s="14">
        <v>1537139024</v>
      </c>
      <c r="N9" s="14">
        <v>1187465719</v>
      </c>
      <c r="O9" s="14">
        <v>2633384217</v>
      </c>
      <c r="P9" s="14">
        <v>2411911290</v>
      </c>
      <c r="Q9" s="13" t="s">
        <v>82</v>
      </c>
      <c r="R9" s="13" t="s">
        <v>83</v>
      </c>
      <c r="S9" s="13" t="s">
        <v>84</v>
      </c>
      <c r="T9" s="13" t="s">
        <v>85</v>
      </c>
      <c r="U9" s="13" t="s">
        <v>86</v>
      </c>
      <c r="V9" s="13" t="s">
        <v>33</v>
      </c>
      <c r="W9" s="13" t="s">
        <v>34</v>
      </c>
    </row>
    <row r="10" spans="1:23" ht="15.35">
      <c r="A10" s="13" t="s">
        <v>89</v>
      </c>
      <c r="B10" s="13" t="s">
        <v>90</v>
      </c>
      <c r="C10" s="13" t="s">
        <v>90</v>
      </c>
      <c r="D10" s="13" t="s">
        <v>57</v>
      </c>
      <c r="E10" s="13" t="s">
        <v>58</v>
      </c>
      <c r="F10" s="13" t="s">
        <v>59</v>
      </c>
      <c r="G10" s="14">
        <v>37217586604.07</v>
      </c>
      <c r="H10" s="14">
        <v>41426173982.339996</v>
      </c>
      <c r="I10" s="14">
        <v>37217586604.07</v>
      </c>
      <c r="J10" s="14">
        <v>41426173982.339996</v>
      </c>
      <c r="K10" s="14">
        <v>4153925766.3400002</v>
      </c>
      <c r="L10" s="14">
        <v>5625176303.6899996</v>
      </c>
      <c r="M10" s="14">
        <v>4116194422.5</v>
      </c>
      <c r="N10" s="14">
        <v>5554481970.8999996</v>
      </c>
      <c r="O10" s="14">
        <v>7210590343.8199997</v>
      </c>
      <c r="P10" s="14">
        <v>3196679778.25</v>
      </c>
      <c r="Q10" s="13" t="s">
        <v>82</v>
      </c>
      <c r="R10" s="13" t="s">
        <v>83</v>
      </c>
      <c r="S10" s="13" t="s">
        <v>84</v>
      </c>
      <c r="T10" s="13" t="s">
        <v>85</v>
      </c>
      <c r="U10" s="13" t="s">
        <v>86</v>
      </c>
      <c r="V10" s="13" t="s">
        <v>33</v>
      </c>
      <c r="W10" s="13" t="s">
        <v>34</v>
      </c>
    </row>
    <row r="11" spans="1:23" ht="15.35">
      <c r="A11" s="13" t="s">
        <v>91</v>
      </c>
      <c r="B11" s="13" t="s">
        <v>92</v>
      </c>
      <c r="C11" s="13" t="s">
        <v>92</v>
      </c>
      <c r="D11" s="13" t="s">
        <v>57</v>
      </c>
      <c r="E11" s="13" t="s">
        <v>58</v>
      </c>
      <c r="F11" s="13" t="s">
        <v>59</v>
      </c>
      <c r="G11" s="14">
        <v>47697540240.43</v>
      </c>
      <c r="H11" s="14">
        <v>61247393438.93</v>
      </c>
      <c r="I11" s="14">
        <v>47697540240.43</v>
      </c>
      <c r="J11" s="14">
        <v>61247393438.93</v>
      </c>
      <c r="K11" s="14">
        <v>41913726.649999999</v>
      </c>
      <c r="L11" s="14">
        <v>1285819082.4300001</v>
      </c>
      <c r="M11" s="14">
        <v>80542788.989999995</v>
      </c>
      <c r="N11" s="14">
        <v>1363826801.45</v>
      </c>
      <c r="O11" s="14">
        <v>1305350410.6199999</v>
      </c>
      <c r="P11" s="14">
        <v>1894598193.5</v>
      </c>
      <c r="Q11" s="13" t="s">
        <v>93</v>
      </c>
      <c r="R11" s="13" t="s">
        <v>94</v>
      </c>
      <c r="S11" s="13" t="s">
        <v>95</v>
      </c>
      <c r="T11" s="13" t="s">
        <v>96</v>
      </c>
      <c r="U11" s="13" t="s">
        <v>97</v>
      </c>
      <c r="V11" s="13" t="s">
        <v>33</v>
      </c>
      <c r="W11" s="13" t="s">
        <v>34</v>
      </c>
    </row>
    <row r="12" spans="1:23" ht="15.35">
      <c r="A12" s="13" t="s">
        <v>98</v>
      </c>
      <c r="B12" s="13" t="s">
        <v>99</v>
      </c>
      <c r="C12" s="13" t="s">
        <v>99</v>
      </c>
      <c r="D12" s="13" t="s">
        <v>57</v>
      </c>
      <c r="E12" s="13" t="s">
        <v>58</v>
      </c>
      <c r="F12" s="13" t="s">
        <v>59</v>
      </c>
      <c r="G12" s="14">
        <v>215690504589.82001</v>
      </c>
      <c r="H12" s="14">
        <v>231809281106.82001</v>
      </c>
      <c r="I12" s="14">
        <v>215690504589.82001</v>
      </c>
      <c r="J12" s="14">
        <v>231809281106.82001</v>
      </c>
      <c r="K12" s="14">
        <v>14277681970.389999</v>
      </c>
      <c r="L12" s="14">
        <v>13680319243.389999</v>
      </c>
      <c r="M12" s="14">
        <v>11403288984.59</v>
      </c>
      <c r="N12" s="14">
        <v>10930504451.02</v>
      </c>
      <c r="O12" s="14">
        <v>26094123939.279999</v>
      </c>
      <c r="P12" s="14">
        <v>28681522296.049999</v>
      </c>
      <c r="Q12" s="13" t="s">
        <v>93</v>
      </c>
      <c r="R12" s="13" t="s">
        <v>94</v>
      </c>
      <c r="S12" s="13" t="s">
        <v>95</v>
      </c>
      <c r="T12" s="13" t="s">
        <v>96</v>
      </c>
      <c r="U12" s="13" t="s">
        <v>97</v>
      </c>
      <c r="V12" s="13" t="s">
        <v>33</v>
      </c>
      <c r="W12" s="13" t="s">
        <v>34</v>
      </c>
    </row>
    <row r="13" spans="1:23" ht="15.35">
      <c r="A13" s="13" t="s">
        <v>100</v>
      </c>
      <c r="B13" s="13" t="s">
        <v>101</v>
      </c>
      <c r="C13" s="13" t="s">
        <v>101</v>
      </c>
      <c r="D13" s="13" t="s">
        <v>57</v>
      </c>
      <c r="E13" s="13" t="s">
        <v>58</v>
      </c>
      <c r="F13" s="13" t="s">
        <v>59</v>
      </c>
      <c r="G13" s="14">
        <v>168852183839.32001</v>
      </c>
      <c r="H13" s="14">
        <v>183998900513.66</v>
      </c>
      <c r="I13" s="14">
        <v>168852183839.32001</v>
      </c>
      <c r="J13" s="14">
        <v>183998900513.66</v>
      </c>
      <c r="K13" s="14">
        <v>7482264275.1000004</v>
      </c>
      <c r="L13" s="14">
        <v>8226592261.9899998</v>
      </c>
      <c r="M13" s="14">
        <v>6690703044.6800003</v>
      </c>
      <c r="N13" s="14">
        <v>7207268139.6099997</v>
      </c>
      <c r="O13" s="14">
        <v>8139847784.9399996</v>
      </c>
      <c r="P13" s="14">
        <v>9523102797.4699993</v>
      </c>
      <c r="Q13" s="13" t="s">
        <v>93</v>
      </c>
      <c r="R13" s="13" t="s">
        <v>94</v>
      </c>
      <c r="S13" s="13" t="s">
        <v>95</v>
      </c>
      <c r="T13" s="13" t="s">
        <v>96</v>
      </c>
      <c r="U13" s="13" t="s">
        <v>97</v>
      </c>
      <c r="V13" s="13" t="s">
        <v>33</v>
      </c>
      <c r="W13" s="13" t="s">
        <v>34</v>
      </c>
    </row>
    <row r="14" spans="1:23" ht="15.35">
      <c r="A14" s="13" t="s">
        <v>102</v>
      </c>
      <c r="B14" s="13" t="s">
        <v>103</v>
      </c>
      <c r="C14" s="13" t="s">
        <v>103</v>
      </c>
      <c r="D14" s="13" t="s">
        <v>57</v>
      </c>
      <c r="E14" s="13" t="s">
        <v>58</v>
      </c>
      <c r="F14" s="13" t="s">
        <v>59</v>
      </c>
      <c r="G14" s="14">
        <v>26600328450.939999</v>
      </c>
      <c r="H14" s="14">
        <v>29581458675.27</v>
      </c>
      <c r="I14" s="14">
        <v>26600328450.939999</v>
      </c>
      <c r="J14" s="14">
        <v>29581458675.27</v>
      </c>
      <c r="K14" s="14">
        <v>3003686606.29</v>
      </c>
      <c r="L14" s="14">
        <v>2782666319</v>
      </c>
      <c r="M14" s="14">
        <v>3000605982.2399998</v>
      </c>
      <c r="N14" s="14">
        <v>2779071103.3400002</v>
      </c>
      <c r="O14" s="14">
        <v>3236068686.8400002</v>
      </c>
      <c r="P14" s="14">
        <v>4482090128.2600002</v>
      </c>
      <c r="Q14" s="13" t="s">
        <v>104</v>
      </c>
      <c r="R14" s="13" t="s">
        <v>105</v>
      </c>
      <c r="S14" s="13" t="s">
        <v>106</v>
      </c>
      <c r="T14" s="13" t="s">
        <v>107</v>
      </c>
      <c r="U14" s="13" t="s">
        <v>108</v>
      </c>
      <c r="V14" s="13" t="s">
        <v>33</v>
      </c>
      <c r="W14" s="13" t="s">
        <v>34</v>
      </c>
    </row>
    <row r="15" spans="1:23" ht="15.35">
      <c r="A15" s="13" t="s">
        <v>109</v>
      </c>
      <c r="B15" s="13" t="s">
        <v>110</v>
      </c>
      <c r="C15" s="13" t="s">
        <v>110</v>
      </c>
      <c r="D15" s="13" t="s">
        <v>57</v>
      </c>
      <c r="E15" s="13" t="s">
        <v>58</v>
      </c>
      <c r="F15" s="13" t="s">
        <v>59</v>
      </c>
      <c r="G15" s="14">
        <v>27618063792.470001</v>
      </c>
      <c r="H15" s="14">
        <v>32557178348.369999</v>
      </c>
      <c r="I15" s="14">
        <v>27618063792.470001</v>
      </c>
      <c r="J15" s="14">
        <v>32557178348.369999</v>
      </c>
      <c r="K15" s="14">
        <v>2018071593.25</v>
      </c>
      <c r="L15" s="14">
        <v>2472921062.3400002</v>
      </c>
      <c r="M15" s="14">
        <v>2004875279.7</v>
      </c>
      <c r="N15" s="14">
        <v>2453584767.75</v>
      </c>
      <c r="O15" s="14">
        <v>1493510667.9300001</v>
      </c>
      <c r="P15" s="14">
        <v>2883761178.73</v>
      </c>
      <c r="Q15" s="13" t="s">
        <v>104</v>
      </c>
      <c r="R15" s="13" t="s">
        <v>105</v>
      </c>
      <c r="S15" s="13" t="s">
        <v>106</v>
      </c>
      <c r="T15" s="13" t="s">
        <v>107</v>
      </c>
      <c r="U15" s="13" t="s">
        <v>108</v>
      </c>
      <c r="V15" s="13" t="s">
        <v>33</v>
      </c>
      <c r="W15" s="13" t="s">
        <v>34</v>
      </c>
    </row>
    <row r="16" spans="1:23" ht="15.35">
      <c r="A16" s="13" t="s">
        <v>111</v>
      </c>
      <c r="B16" s="13" t="s">
        <v>112</v>
      </c>
      <c r="C16" s="13" t="s">
        <v>112</v>
      </c>
      <c r="D16" s="13" t="s">
        <v>57</v>
      </c>
      <c r="E16" s="13" t="s">
        <v>58</v>
      </c>
      <c r="F16" s="13" t="s">
        <v>59</v>
      </c>
      <c r="G16" s="14">
        <v>55863577384.669998</v>
      </c>
      <c r="H16" s="14">
        <v>61182688684.660004</v>
      </c>
      <c r="I16" s="14">
        <v>55863577384.669998</v>
      </c>
      <c r="J16" s="14">
        <v>61182688684.660004</v>
      </c>
      <c r="K16" s="14">
        <v>1326281503.55</v>
      </c>
      <c r="L16" s="14">
        <v>1615546093.54</v>
      </c>
      <c r="M16" s="14">
        <v>960469595.44000006</v>
      </c>
      <c r="N16" s="14">
        <v>1335819941.9100001</v>
      </c>
      <c r="O16" s="14">
        <v>4601804346.7299995</v>
      </c>
      <c r="P16" s="14">
        <v>5398030186.8599997</v>
      </c>
      <c r="Q16" s="13" t="s">
        <v>104</v>
      </c>
      <c r="R16" s="13" t="s">
        <v>105</v>
      </c>
      <c r="S16" s="13" t="s">
        <v>106</v>
      </c>
      <c r="T16" s="13" t="s">
        <v>107</v>
      </c>
      <c r="U16" s="13" t="s">
        <v>108</v>
      </c>
      <c r="V16" s="13" t="s">
        <v>33</v>
      </c>
      <c r="W16" s="13" t="s">
        <v>34</v>
      </c>
    </row>
  </sheetData>
  <autoFilter ref="A1:W16" xr:uid="{00000000-0009-0000-0000-000002000000}"/>
  <phoneticPr fontId="10" type="noConversion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F24"/>
  <sheetViews>
    <sheetView showGridLines="0" workbookViewId="0"/>
  </sheetViews>
  <sheetFormatPr defaultRowHeight="14.35"/>
  <cols>
    <col min="1" max="1" width="3" customWidth="1"/>
    <col min="2" max="2" width="23" customWidth="1"/>
    <col min="3" max="6" width="25" customWidth="1"/>
  </cols>
  <sheetData>
    <row r="2" spans="2:6" ht="32" customHeight="1">
      <c r="B2" s="25" t="s">
        <v>113</v>
      </c>
      <c r="C2" s="19"/>
      <c r="D2" s="19"/>
      <c r="E2" s="19"/>
      <c r="F2" s="19"/>
    </row>
    <row r="4" spans="2:6" ht="42" customHeight="1">
      <c r="B4" s="15" t="s">
        <v>114</v>
      </c>
      <c r="C4" s="26" t="s">
        <v>115</v>
      </c>
      <c r="D4" s="19"/>
      <c r="E4" s="19"/>
      <c r="F4" s="19"/>
    </row>
    <row r="5" spans="2:6" ht="42" customHeight="1">
      <c r="B5" s="16" t="s">
        <v>116</v>
      </c>
      <c r="C5" s="24" t="s">
        <v>117</v>
      </c>
      <c r="D5" s="19"/>
      <c r="E5" s="19"/>
      <c r="F5" s="19"/>
    </row>
    <row r="6" spans="2:6" ht="34" customHeight="1">
      <c r="B6" s="16" t="s">
        <v>118</v>
      </c>
      <c r="C6" s="24" t="s">
        <v>119</v>
      </c>
      <c r="D6" s="19"/>
      <c r="E6" s="19"/>
      <c r="F6" s="19"/>
    </row>
    <row r="7" spans="2:6" ht="34" customHeight="1">
      <c r="B7" s="16" t="s">
        <v>37</v>
      </c>
      <c r="C7" s="24" t="s">
        <v>120</v>
      </c>
      <c r="D7" s="19"/>
      <c r="E7" s="19"/>
      <c r="F7" s="19"/>
    </row>
    <row r="8" spans="2:6" ht="34" customHeight="1">
      <c r="B8" s="16" t="s">
        <v>121</v>
      </c>
      <c r="C8" s="24" t="s">
        <v>122</v>
      </c>
      <c r="D8" s="19"/>
      <c r="E8" s="19"/>
      <c r="F8" s="19"/>
    </row>
    <row r="9" spans="2:6" ht="34" customHeight="1">
      <c r="B9" s="16" t="s">
        <v>4</v>
      </c>
      <c r="C9" s="24" t="s">
        <v>123</v>
      </c>
      <c r="D9" s="19"/>
      <c r="E9" s="19"/>
      <c r="F9" s="19"/>
    </row>
    <row r="10" spans="2:6" ht="34" customHeight="1">
      <c r="B10" s="16" t="s">
        <v>6</v>
      </c>
      <c r="C10" s="24" t="s">
        <v>124</v>
      </c>
      <c r="D10" s="19"/>
      <c r="E10" s="19"/>
      <c r="F10" s="19"/>
    </row>
    <row r="11" spans="2:6" ht="34" customHeight="1">
      <c r="B11" s="16" t="s">
        <v>125</v>
      </c>
      <c r="C11" s="24" t="s">
        <v>126</v>
      </c>
      <c r="D11" s="19"/>
      <c r="E11" s="19"/>
      <c r="F11" s="19"/>
    </row>
    <row r="12" spans="2:6" ht="34" customHeight="1">
      <c r="B12" s="16" t="s">
        <v>127</v>
      </c>
      <c r="C12" s="24" t="s">
        <v>128</v>
      </c>
      <c r="D12" s="19"/>
      <c r="E12" s="19"/>
      <c r="F12" s="19"/>
    </row>
    <row r="13" spans="2:6" ht="34" customHeight="1">
      <c r="B13" s="16" t="s">
        <v>129</v>
      </c>
      <c r="C13" s="24" t="s">
        <v>130</v>
      </c>
      <c r="D13" s="19"/>
      <c r="E13" s="19"/>
      <c r="F13" s="19"/>
    </row>
    <row r="14" spans="2:6" ht="34" customHeight="1">
      <c r="B14" s="16" t="s">
        <v>131</v>
      </c>
      <c r="C14" s="24" t="s">
        <v>132</v>
      </c>
      <c r="D14" s="19"/>
      <c r="E14" s="19"/>
      <c r="F14" s="19"/>
    </row>
    <row r="15" spans="2:6" ht="34" customHeight="1">
      <c r="B15" s="16" t="s">
        <v>133</v>
      </c>
      <c r="C15" s="24" t="s">
        <v>134</v>
      </c>
      <c r="D15" s="19"/>
      <c r="E15" s="19"/>
      <c r="F15" s="19"/>
    </row>
    <row r="16" spans="2:6" ht="34" customHeight="1">
      <c r="B16" s="16" t="s">
        <v>135</v>
      </c>
      <c r="C16" s="24" t="s">
        <v>136</v>
      </c>
      <c r="D16" s="19"/>
      <c r="E16" s="19"/>
      <c r="F16" s="19"/>
    </row>
    <row r="17" spans="2:6" ht="34" customHeight="1">
      <c r="B17" s="16" t="s">
        <v>137</v>
      </c>
      <c r="C17" s="24" t="s">
        <v>138</v>
      </c>
      <c r="D17" s="19"/>
      <c r="E17" s="19"/>
      <c r="F17" s="19"/>
    </row>
    <row r="18" spans="2:6" ht="34" customHeight="1">
      <c r="B18" s="16" t="s">
        <v>139</v>
      </c>
      <c r="C18" s="24" t="s">
        <v>140</v>
      </c>
      <c r="D18" s="19"/>
      <c r="E18" s="19"/>
      <c r="F18" s="19"/>
    </row>
    <row r="19" spans="2:6" ht="34" customHeight="1">
      <c r="B19" s="16" t="s">
        <v>141</v>
      </c>
      <c r="C19" s="24" t="s">
        <v>142</v>
      </c>
      <c r="D19" s="19"/>
      <c r="E19" s="19"/>
      <c r="F19" s="19"/>
    </row>
    <row r="20" spans="2:6" ht="34" customHeight="1">
      <c r="B20" s="16" t="s">
        <v>143</v>
      </c>
      <c r="C20" s="24" t="s">
        <v>144</v>
      </c>
      <c r="D20" s="19"/>
      <c r="E20" s="19"/>
      <c r="F20" s="19"/>
    </row>
    <row r="21" spans="2:6" ht="34" customHeight="1">
      <c r="B21" s="16" t="s">
        <v>145</v>
      </c>
      <c r="C21" s="24" t="s">
        <v>146</v>
      </c>
      <c r="D21" s="19"/>
      <c r="E21" s="19"/>
      <c r="F21" s="19"/>
    </row>
    <row r="22" spans="2:6" ht="34" customHeight="1">
      <c r="B22" s="16" t="s">
        <v>30</v>
      </c>
      <c r="C22" s="24" t="s">
        <v>33</v>
      </c>
      <c r="D22" s="19"/>
      <c r="E22" s="19"/>
      <c r="F22" s="19"/>
    </row>
    <row r="23" spans="2:6" ht="34" customHeight="1">
      <c r="B23" s="16" t="s">
        <v>31</v>
      </c>
      <c r="C23" s="24" t="s">
        <v>34</v>
      </c>
      <c r="D23" s="19"/>
      <c r="E23" s="19"/>
      <c r="F23" s="19"/>
    </row>
    <row r="24" spans="2:6" ht="34" customHeight="1">
      <c r="B24" s="16" t="s">
        <v>147</v>
      </c>
      <c r="C24" s="24" t="s">
        <v>148</v>
      </c>
      <c r="D24" s="19"/>
      <c r="E24" s="19"/>
      <c r="F24" s="19"/>
    </row>
  </sheetData>
  <mergeCells count="22">
    <mergeCell ref="B2:F2"/>
    <mergeCell ref="C6:F6"/>
    <mergeCell ref="C15:F15"/>
    <mergeCell ref="C24:F24"/>
    <mergeCell ref="C5:F5"/>
    <mergeCell ref="C14:F14"/>
    <mergeCell ref="C4:F4"/>
    <mergeCell ref="C20:F20"/>
    <mergeCell ref="C16:F16"/>
    <mergeCell ref="C10:F10"/>
    <mergeCell ref="C22:F22"/>
    <mergeCell ref="C9:F9"/>
    <mergeCell ref="C12:F12"/>
    <mergeCell ref="C21:F21"/>
    <mergeCell ref="C11:F11"/>
    <mergeCell ref="C17:F17"/>
    <mergeCell ref="C23:F23"/>
    <mergeCell ref="C8:F8"/>
    <mergeCell ref="C7:F7"/>
    <mergeCell ref="C19:F19"/>
    <mergeCell ref="C13:F13"/>
    <mergeCell ref="C18:F18"/>
  </mergeCells>
  <phoneticPr fontId="10" type="noConversion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.35"/>
  <cols>
    <col min="1" max="1" width="8" customWidth="1"/>
    <col min="2" max="2" width="30" customWidth="1"/>
    <col min="3" max="3" width="38" customWidth="1"/>
    <col min="4" max="5" width="32" customWidth="1"/>
    <col min="6" max="6" width="10" customWidth="1"/>
    <col min="7" max="8" width="52" customWidth="1"/>
  </cols>
  <sheetData>
    <row r="1" spans="1:8" ht="15.7">
      <c r="A1" s="17" t="s">
        <v>149</v>
      </c>
      <c r="B1" s="17" t="s">
        <v>150</v>
      </c>
      <c r="C1" s="17" t="s">
        <v>151</v>
      </c>
      <c r="D1" s="17" t="s">
        <v>152</v>
      </c>
      <c r="E1" s="17" t="s">
        <v>153</v>
      </c>
      <c r="F1" s="17" t="s">
        <v>154</v>
      </c>
      <c r="G1" s="17" t="s">
        <v>155</v>
      </c>
      <c r="H1" s="17" t="s">
        <v>156</v>
      </c>
    </row>
    <row r="2" spans="1:8">
      <c r="A2" s="18">
        <v>1</v>
      </c>
      <c r="B2" s="18" t="s">
        <v>157</v>
      </c>
      <c r="C2" s="18" t="s">
        <v>158</v>
      </c>
      <c r="D2" s="18" t="s">
        <v>159</v>
      </c>
      <c r="E2" s="18" t="s">
        <v>160</v>
      </c>
      <c r="F2" s="18">
        <v>0</v>
      </c>
      <c r="G2" s="18" t="s">
        <v>161</v>
      </c>
      <c r="H2" s="18" t="s">
        <v>162</v>
      </c>
    </row>
    <row r="3" spans="1:8">
      <c r="A3" s="18">
        <v>2</v>
      </c>
      <c r="B3" s="18" t="s">
        <v>163</v>
      </c>
      <c r="C3" s="18" t="s">
        <v>164</v>
      </c>
      <c r="D3" s="18" t="s">
        <v>160</v>
      </c>
      <c r="E3" s="18" t="s">
        <v>160</v>
      </c>
      <c r="F3" s="18">
        <v>0</v>
      </c>
      <c r="G3" s="18" t="s">
        <v>165</v>
      </c>
      <c r="H3" s="18" t="s">
        <v>166</v>
      </c>
    </row>
    <row r="4" spans="1:8">
      <c r="A4" s="18">
        <v>3</v>
      </c>
      <c r="B4" s="18" t="s">
        <v>167</v>
      </c>
      <c r="C4" s="18" t="s">
        <v>164</v>
      </c>
      <c r="D4" s="18" t="s">
        <v>160</v>
      </c>
      <c r="E4" s="18" t="s">
        <v>168</v>
      </c>
      <c r="F4" s="18">
        <v>0</v>
      </c>
      <c r="G4" s="18" t="s">
        <v>169</v>
      </c>
      <c r="H4" s="18" t="s">
        <v>170</v>
      </c>
    </row>
    <row r="5" spans="1:8">
      <c r="A5" s="18">
        <v>4</v>
      </c>
      <c r="B5" s="18" t="s">
        <v>171</v>
      </c>
      <c r="C5" s="18" t="s">
        <v>158</v>
      </c>
      <c r="D5" s="18" t="s">
        <v>168</v>
      </c>
      <c r="E5" s="18" t="s">
        <v>168</v>
      </c>
      <c r="F5" s="18">
        <v>0</v>
      </c>
      <c r="G5" s="18" t="s">
        <v>172</v>
      </c>
      <c r="H5" s="18" t="s">
        <v>173</v>
      </c>
    </row>
    <row r="6" spans="1:8">
      <c r="A6" s="18">
        <v>5</v>
      </c>
      <c r="B6" s="18" t="s">
        <v>174</v>
      </c>
      <c r="C6" s="18" t="s">
        <v>164</v>
      </c>
      <c r="D6" s="18" t="s">
        <v>168</v>
      </c>
      <c r="E6" s="18" t="s">
        <v>175</v>
      </c>
      <c r="F6" s="18">
        <v>0</v>
      </c>
      <c r="G6" s="18" t="s">
        <v>176</v>
      </c>
      <c r="H6" s="18" t="s">
        <v>177</v>
      </c>
    </row>
    <row r="7" spans="1:8">
      <c r="A7" s="18">
        <v>6</v>
      </c>
      <c r="B7" s="18" t="s">
        <v>178</v>
      </c>
      <c r="C7" s="18" t="s">
        <v>164</v>
      </c>
      <c r="D7" s="18" t="s">
        <v>175</v>
      </c>
      <c r="E7" s="18" t="s">
        <v>179</v>
      </c>
      <c r="F7" s="18">
        <v>0</v>
      </c>
      <c r="G7" s="18" t="s">
        <v>180</v>
      </c>
      <c r="H7" s="18" t="s">
        <v>181</v>
      </c>
    </row>
    <row r="8" spans="1:8">
      <c r="A8" s="18">
        <v>7</v>
      </c>
      <c r="B8" s="18" t="s">
        <v>182</v>
      </c>
      <c r="C8" s="18" t="s">
        <v>158</v>
      </c>
      <c r="D8" s="18" t="s">
        <v>179</v>
      </c>
      <c r="E8" s="18" t="s">
        <v>183</v>
      </c>
      <c r="F8" s="18">
        <v>0</v>
      </c>
      <c r="G8" s="18" t="s">
        <v>184</v>
      </c>
      <c r="H8" s="18" t="s">
        <v>185</v>
      </c>
    </row>
    <row r="9" spans="1:8">
      <c r="A9" s="18">
        <v>8</v>
      </c>
      <c r="B9" s="18" t="s">
        <v>186</v>
      </c>
      <c r="C9" s="18" t="s">
        <v>164</v>
      </c>
      <c r="D9" s="18" t="s">
        <v>183</v>
      </c>
      <c r="E9" s="18" t="s">
        <v>187</v>
      </c>
      <c r="F9" s="18">
        <v>0</v>
      </c>
      <c r="G9" s="18" t="s">
        <v>188</v>
      </c>
      <c r="H9" s="18" t="s">
        <v>189</v>
      </c>
    </row>
    <row r="10" spans="1:8">
      <c r="A10" s="18">
        <v>9</v>
      </c>
      <c r="B10" s="18" t="s">
        <v>190</v>
      </c>
      <c r="C10" s="18" t="s">
        <v>164</v>
      </c>
      <c r="D10" s="18" t="s">
        <v>187</v>
      </c>
      <c r="E10" s="18" t="s">
        <v>191</v>
      </c>
      <c r="F10" s="18">
        <v>0</v>
      </c>
      <c r="G10" s="18" t="s">
        <v>192</v>
      </c>
      <c r="H10" s="18" t="s">
        <v>193</v>
      </c>
    </row>
    <row r="11" spans="1:8">
      <c r="A11" s="18">
        <v>10</v>
      </c>
      <c r="B11" s="18" t="s">
        <v>194</v>
      </c>
      <c r="C11" s="18" t="s">
        <v>158</v>
      </c>
      <c r="D11" s="18" t="s">
        <v>191</v>
      </c>
      <c r="E11" s="18" t="s">
        <v>195</v>
      </c>
      <c r="F11" s="18">
        <v>0</v>
      </c>
      <c r="G11" s="18" t="s">
        <v>196</v>
      </c>
      <c r="H11" s="18" t="s">
        <v>197</v>
      </c>
    </row>
    <row r="12" spans="1:8">
      <c r="A12" s="18">
        <v>11</v>
      </c>
      <c r="B12" s="18" t="s">
        <v>198</v>
      </c>
      <c r="C12" s="18" t="s">
        <v>164</v>
      </c>
      <c r="D12" s="18" t="s">
        <v>195</v>
      </c>
      <c r="E12" s="18" t="s">
        <v>199</v>
      </c>
      <c r="F12" s="18">
        <v>0</v>
      </c>
      <c r="G12" s="18" t="s">
        <v>200</v>
      </c>
      <c r="H12" s="18" t="s">
        <v>201</v>
      </c>
    </row>
    <row r="13" spans="1:8">
      <c r="A13" s="18">
        <v>12</v>
      </c>
      <c r="B13" s="18" t="s">
        <v>202</v>
      </c>
      <c r="C13" s="18" t="s">
        <v>164</v>
      </c>
      <c r="D13" s="18" t="s">
        <v>199</v>
      </c>
      <c r="E13" s="18" t="s">
        <v>203</v>
      </c>
      <c r="F13" s="18">
        <v>0</v>
      </c>
      <c r="G13" s="18" t="s">
        <v>204</v>
      </c>
      <c r="H13" s="18" t="s">
        <v>205</v>
      </c>
    </row>
    <row r="14" spans="1:8">
      <c r="A14" s="18">
        <v>13</v>
      </c>
      <c r="B14" s="18" t="s">
        <v>206</v>
      </c>
      <c r="C14" s="18" t="s">
        <v>158</v>
      </c>
      <c r="D14" s="18" t="s">
        <v>203</v>
      </c>
      <c r="E14" s="18" t="s">
        <v>207</v>
      </c>
      <c r="F14" s="18">
        <v>0</v>
      </c>
      <c r="G14" s="18" t="s">
        <v>208</v>
      </c>
      <c r="H14" s="18" t="s">
        <v>209</v>
      </c>
    </row>
    <row r="15" spans="1:8">
      <c r="A15" s="18">
        <v>14</v>
      </c>
      <c r="B15" s="18" t="s">
        <v>210</v>
      </c>
      <c r="C15" s="18" t="s">
        <v>164</v>
      </c>
      <c r="D15" s="18" t="s">
        <v>207</v>
      </c>
      <c r="E15" s="18" t="s">
        <v>211</v>
      </c>
      <c r="F15" s="18">
        <v>0</v>
      </c>
      <c r="G15" s="18" t="s">
        <v>212</v>
      </c>
      <c r="H15" s="18" t="s">
        <v>213</v>
      </c>
    </row>
    <row r="16" spans="1:8">
      <c r="A16" s="18">
        <v>15</v>
      </c>
      <c r="B16" s="18" t="s">
        <v>214</v>
      </c>
      <c r="C16" s="18" t="s">
        <v>164</v>
      </c>
      <c r="D16" s="18" t="s">
        <v>211</v>
      </c>
      <c r="E16" s="18" t="s">
        <v>215</v>
      </c>
      <c r="F16" s="18">
        <v>0</v>
      </c>
      <c r="G16" s="18" t="s">
        <v>216</v>
      </c>
      <c r="H16" s="18" t="s">
        <v>217</v>
      </c>
    </row>
  </sheetData>
  <autoFilter ref="A1:H16" xr:uid="{00000000-0009-0000-0000-000004000000}"/>
  <phoneticPr fontId="10" type="noConversion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给定候选池内前10家</vt:lpstr>
      <vt:lpstr>筛选计算</vt:lpstr>
      <vt:lpstr>原始财务数据</vt:lpstr>
      <vt:lpstr>查询口径与来源</vt:lpstr>
      <vt:lpstr>查询记录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A股汽车产业链候选公司2025年度财务筛选</dc:title>
  <dc:subject>给定候选池内前10家</dc:subject>
  <dc:creator>Kimi Work；数据源 iFinD</dc:creator>
  <cp:lastModifiedBy>liqi ma</cp:lastModifiedBy>
  <dcterms:created xsi:type="dcterms:W3CDTF">2026-10-27T14:36:43Z</dcterms:created>
  <dcterms:modified xsi:type="dcterms:W3CDTF">2026-10-27T14:36:46Z</dcterms:modified>
</cp:coreProperties>
</file>