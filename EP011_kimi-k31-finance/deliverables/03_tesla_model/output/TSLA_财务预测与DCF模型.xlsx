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uant-videos\Kimi_K3.1_金融实测\04_测试案例\CASE01_特斯拉财务模型\output\"/>
    </mc:Choice>
  </mc:AlternateContent>
  <xr:revisionPtr revIDLastSave="0" documentId="13_ncr:1_{AFF4BE83-8545-45F3-B2C0-7E953CC2CBE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ummary" sheetId="1" r:id="rId1"/>
    <sheet name="Assumptions" sheetId="2" r:id="rId2"/>
    <sheet name="Drivers" sheetId="3" r:id="rId3"/>
    <sheet name="IS" sheetId="4" r:id="rId4"/>
    <sheet name="BS" sheetId="5" r:id="rId5"/>
    <sheet name="CF" sheetId="6" r:id="rId6"/>
    <sheet name="Schedules" sheetId="7" r:id="rId7"/>
    <sheet name="DCF" sheetId="8" r:id="rId8"/>
    <sheet name="Sensitivity" sheetId="9" r:id="rId9"/>
    <sheet name="Scenario DCF" sheetId="10" r:id="rId10"/>
    <sheet name="Raw Data" sheetId="11" r:id="rId11"/>
    <sheet name="Sources" sheetId="12" r:id="rId12"/>
    <sheet name="Checks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9" i="10" l="1"/>
  <c r="C137" i="10"/>
  <c r="C135" i="10"/>
  <c r="C134" i="10"/>
  <c r="C133" i="10"/>
  <c r="C127" i="10"/>
  <c r="C126" i="10"/>
  <c r="G115" i="10"/>
  <c r="F115" i="10"/>
  <c r="E115" i="10"/>
  <c r="D115" i="10"/>
  <c r="C115" i="10"/>
  <c r="G113" i="10"/>
  <c r="F113" i="10"/>
  <c r="E113" i="10"/>
  <c r="D113" i="10"/>
  <c r="C113" i="10"/>
  <c r="C112" i="10"/>
  <c r="C114" i="10" s="1"/>
  <c r="C107" i="10"/>
  <c r="D107" i="10" s="1"/>
  <c r="E107" i="10" s="1"/>
  <c r="F107" i="10" s="1"/>
  <c r="G107" i="10" s="1"/>
  <c r="C105" i="10"/>
  <c r="D105" i="10" s="1"/>
  <c r="E105" i="10" s="1"/>
  <c r="F105" i="10" s="1"/>
  <c r="G105" i="10" s="1"/>
  <c r="C104" i="10"/>
  <c r="D104" i="10" s="1"/>
  <c r="D106" i="10" s="1"/>
  <c r="C102" i="10"/>
  <c r="D102" i="10" s="1"/>
  <c r="E102" i="10" s="1"/>
  <c r="F102" i="10" s="1"/>
  <c r="G102" i="10" s="1"/>
  <c r="C101" i="10"/>
  <c r="C92" i="10"/>
  <c r="C90" i="10"/>
  <c r="C88" i="10"/>
  <c r="C87" i="10"/>
  <c r="C86" i="10"/>
  <c r="C80" i="10"/>
  <c r="C79" i="10"/>
  <c r="G68" i="10"/>
  <c r="F68" i="10"/>
  <c r="E68" i="10"/>
  <c r="D68" i="10"/>
  <c r="C68" i="10"/>
  <c r="G66" i="10"/>
  <c r="F66" i="10"/>
  <c r="E66" i="10"/>
  <c r="D66" i="10"/>
  <c r="C66" i="10"/>
  <c r="C65" i="10"/>
  <c r="C60" i="10"/>
  <c r="D60" i="10" s="1"/>
  <c r="E60" i="10" s="1"/>
  <c r="F60" i="10" s="1"/>
  <c r="G60" i="10" s="1"/>
  <c r="C58" i="10"/>
  <c r="C57" i="10"/>
  <c r="D57" i="10" s="1"/>
  <c r="C55" i="10"/>
  <c r="D55" i="10" s="1"/>
  <c r="E55" i="10" s="1"/>
  <c r="F55" i="10" s="1"/>
  <c r="G55" i="10" s="1"/>
  <c r="C54" i="10"/>
  <c r="C45" i="10"/>
  <c r="C43" i="10"/>
  <c r="C41" i="10"/>
  <c r="C40" i="10"/>
  <c r="C39" i="10"/>
  <c r="C33" i="10"/>
  <c r="C32" i="10"/>
  <c r="G21" i="10"/>
  <c r="F21" i="10"/>
  <c r="E21" i="10"/>
  <c r="D21" i="10"/>
  <c r="C21" i="10"/>
  <c r="G19" i="10"/>
  <c r="F19" i="10"/>
  <c r="E19" i="10"/>
  <c r="D19" i="10"/>
  <c r="C19" i="10"/>
  <c r="C18" i="10"/>
  <c r="C20" i="10" s="1"/>
  <c r="C13" i="10"/>
  <c r="D13" i="10" s="1"/>
  <c r="E13" i="10" s="1"/>
  <c r="F13" i="10" s="1"/>
  <c r="G13" i="10" s="1"/>
  <c r="C11" i="10"/>
  <c r="C10" i="10"/>
  <c r="D10" i="10" s="1"/>
  <c r="E10" i="10" s="1"/>
  <c r="C8" i="10"/>
  <c r="D8" i="10" s="1"/>
  <c r="E8" i="10" s="1"/>
  <c r="F8" i="10" s="1"/>
  <c r="G8" i="10" s="1"/>
  <c r="C7" i="10"/>
  <c r="C37" i="8"/>
  <c r="C35" i="8"/>
  <c r="C33" i="8"/>
  <c r="C32" i="8"/>
  <c r="C31" i="8"/>
  <c r="G15" i="8"/>
  <c r="F15" i="8"/>
  <c r="E15" i="8"/>
  <c r="D15" i="8"/>
  <c r="C15" i="8"/>
  <c r="C4" i="8"/>
  <c r="E25" i="7"/>
  <c r="F22" i="7" s="1"/>
  <c r="D25" i="7"/>
  <c r="C25" i="7"/>
  <c r="E21" i="7"/>
  <c r="F18" i="7" s="1"/>
  <c r="D21" i="7"/>
  <c r="C21" i="7"/>
  <c r="K20" i="7"/>
  <c r="J20" i="7"/>
  <c r="I20" i="7"/>
  <c r="H20" i="7"/>
  <c r="F20" i="7"/>
  <c r="G20" i="7" s="1"/>
  <c r="E17" i="7"/>
  <c r="F14" i="7" s="1"/>
  <c r="D17" i="7"/>
  <c r="C17" i="7"/>
  <c r="K16" i="7"/>
  <c r="J16" i="7"/>
  <c r="J24" i="6" s="1"/>
  <c r="I16" i="7"/>
  <c r="I24" i="6" s="1"/>
  <c r="H16" i="7"/>
  <c r="H24" i="6" s="1"/>
  <c r="F16" i="7"/>
  <c r="F24" i="6" s="1"/>
  <c r="E13" i="7"/>
  <c r="F10" i="7" s="1"/>
  <c r="D13" i="7"/>
  <c r="C13" i="7"/>
  <c r="K12" i="7"/>
  <c r="K23" i="6" s="1"/>
  <c r="J12" i="7"/>
  <c r="J23" i="6" s="1"/>
  <c r="I12" i="7"/>
  <c r="I23" i="6" s="1"/>
  <c r="H12" i="7"/>
  <c r="H23" i="6" s="1"/>
  <c r="F12" i="7"/>
  <c r="G12" i="7" s="1"/>
  <c r="K11" i="7"/>
  <c r="K22" i="6" s="1"/>
  <c r="J11" i="7"/>
  <c r="J22" i="6" s="1"/>
  <c r="I11" i="7"/>
  <c r="I22" i="6" s="1"/>
  <c r="H11" i="7"/>
  <c r="H22" i="6" s="1"/>
  <c r="F11" i="7"/>
  <c r="F22" i="6" s="1"/>
  <c r="E9" i="7"/>
  <c r="F6" i="7" s="1"/>
  <c r="G6" i="7" s="1"/>
  <c r="D9" i="7"/>
  <c r="C9" i="7"/>
  <c r="K28" i="6"/>
  <c r="J28" i="6"/>
  <c r="I28" i="6"/>
  <c r="H28" i="6"/>
  <c r="F28" i="6"/>
  <c r="G28" i="6" s="1"/>
  <c r="K27" i="6"/>
  <c r="J27" i="6"/>
  <c r="I27" i="6"/>
  <c r="H27" i="6"/>
  <c r="F27" i="6"/>
  <c r="E27" i="6"/>
  <c r="G27" i="6" s="1"/>
  <c r="D27" i="6"/>
  <c r="C27" i="6"/>
  <c r="E26" i="6"/>
  <c r="D26" i="6"/>
  <c r="C26" i="6"/>
  <c r="E25" i="6"/>
  <c r="D25" i="6"/>
  <c r="C25" i="6"/>
  <c r="K24" i="6"/>
  <c r="E24" i="6"/>
  <c r="D24" i="6"/>
  <c r="C24" i="6"/>
  <c r="E23" i="6"/>
  <c r="D23" i="6"/>
  <c r="C23" i="6"/>
  <c r="E22" i="6"/>
  <c r="D22" i="6"/>
  <c r="C22" i="6"/>
  <c r="E21" i="6"/>
  <c r="D21" i="6"/>
  <c r="C21" i="6"/>
  <c r="K20" i="6"/>
  <c r="J20" i="6"/>
  <c r="I20" i="6"/>
  <c r="H20" i="6"/>
  <c r="F20" i="6"/>
  <c r="G20" i="6" s="1"/>
  <c r="E18" i="6"/>
  <c r="D18" i="6"/>
  <c r="D19" i="6" s="1"/>
  <c r="C18" i="6"/>
  <c r="E17" i="6"/>
  <c r="D17" i="6"/>
  <c r="C17" i="6"/>
  <c r="E15" i="6"/>
  <c r="D15" i="6"/>
  <c r="C15" i="6"/>
  <c r="E14" i="6"/>
  <c r="D14" i="6"/>
  <c r="C14" i="6"/>
  <c r="E13" i="6"/>
  <c r="D13" i="6"/>
  <c r="C13" i="6"/>
  <c r="K12" i="6"/>
  <c r="J12" i="6"/>
  <c r="I12" i="6"/>
  <c r="H12" i="6"/>
  <c r="F12" i="6"/>
  <c r="E12" i="6"/>
  <c r="D12" i="6"/>
  <c r="C12" i="6"/>
  <c r="E11" i="6"/>
  <c r="D11" i="6"/>
  <c r="C11" i="6"/>
  <c r="E10" i="6"/>
  <c r="D10" i="6"/>
  <c r="C10" i="6"/>
  <c r="K9" i="6"/>
  <c r="J9" i="6"/>
  <c r="I9" i="6"/>
  <c r="H9" i="6"/>
  <c r="F9" i="6"/>
  <c r="E8" i="6"/>
  <c r="D8" i="6"/>
  <c r="C8" i="6"/>
  <c r="E7" i="6"/>
  <c r="D7" i="6"/>
  <c r="C7" i="6"/>
  <c r="E6" i="6"/>
  <c r="D6" i="6"/>
  <c r="D32" i="6" s="1"/>
  <c r="C6" i="6"/>
  <c r="C32" i="6" s="1"/>
  <c r="E27" i="5"/>
  <c r="E28" i="5" s="1"/>
  <c r="D27" i="5"/>
  <c r="D28" i="5" s="1"/>
  <c r="C27" i="5"/>
  <c r="E25" i="5"/>
  <c r="D25" i="5"/>
  <c r="C25" i="5"/>
  <c r="E24" i="5"/>
  <c r="E26" i="5" s="1"/>
  <c r="D24" i="5"/>
  <c r="D26" i="5" s="1"/>
  <c r="C24" i="5"/>
  <c r="C26" i="5" s="1"/>
  <c r="E23" i="5"/>
  <c r="D23" i="5"/>
  <c r="C23" i="5"/>
  <c r="E22" i="5"/>
  <c r="D22" i="5"/>
  <c r="C22" i="5"/>
  <c r="F21" i="5"/>
  <c r="H21" i="5" s="1"/>
  <c r="I21" i="5" s="1"/>
  <c r="J21" i="5" s="1"/>
  <c r="K21" i="5" s="1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F13" i="5" s="1"/>
  <c r="H13" i="5" s="1"/>
  <c r="I13" i="5" s="1"/>
  <c r="J13" i="5" s="1"/>
  <c r="K13" i="5" s="1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F7" i="5"/>
  <c r="H7" i="5" s="1"/>
  <c r="E7" i="5"/>
  <c r="D7" i="5"/>
  <c r="C7" i="5"/>
  <c r="E6" i="5"/>
  <c r="F30" i="6" s="1"/>
  <c r="D6" i="5"/>
  <c r="D31" i="6" s="1"/>
  <c r="C6" i="5"/>
  <c r="C31" i="6" s="1"/>
  <c r="E28" i="4"/>
  <c r="D28" i="4"/>
  <c r="C28" i="4"/>
  <c r="K27" i="4"/>
  <c r="J27" i="4"/>
  <c r="I27" i="4"/>
  <c r="H27" i="4"/>
  <c r="G27" i="4"/>
  <c r="F27" i="4"/>
  <c r="E27" i="4"/>
  <c r="D27" i="4"/>
  <c r="C27" i="4"/>
  <c r="E26" i="4"/>
  <c r="E33" i="1" s="1"/>
  <c r="D26" i="4"/>
  <c r="D33" i="1" s="1"/>
  <c r="C26" i="4"/>
  <c r="C33" i="1" s="1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E31" i="4" s="1"/>
  <c r="E32" i="1" s="1"/>
  <c r="D18" i="4"/>
  <c r="D31" i="1" s="1"/>
  <c r="C18" i="4"/>
  <c r="C31" i="4" s="1"/>
  <c r="C32" i="1" s="1"/>
  <c r="K17" i="4"/>
  <c r="J17" i="4"/>
  <c r="I17" i="4"/>
  <c r="H17" i="4"/>
  <c r="F17" i="4"/>
  <c r="E17" i="4"/>
  <c r="G17" i="4" s="1"/>
  <c r="D17" i="4"/>
  <c r="C17" i="4"/>
  <c r="E16" i="4"/>
  <c r="D16" i="4"/>
  <c r="C16" i="4"/>
  <c r="E15" i="4"/>
  <c r="D15" i="4"/>
  <c r="C15" i="4"/>
  <c r="E14" i="4"/>
  <c r="D14" i="4"/>
  <c r="C14" i="4"/>
  <c r="C30" i="4" s="1"/>
  <c r="C30" i="1" s="1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K49" i="3"/>
  <c r="J49" i="3"/>
  <c r="I49" i="3"/>
  <c r="H49" i="3"/>
  <c r="F49" i="3"/>
  <c r="K48" i="3"/>
  <c r="J48" i="3"/>
  <c r="I48" i="3"/>
  <c r="H48" i="3"/>
  <c r="F48" i="3"/>
  <c r="C25" i="8" s="1"/>
  <c r="K47" i="3"/>
  <c r="J47" i="3"/>
  <c r="I47" i="3"/>
  <c r="H47" i="3"/>
  <c r="F47" i="3"/>
  <c r="C24" i="8" s="1"/>
  <c r="K46" i="3"/>
  <c r="J46" i="3"/>
  <c r="I46" i="3"/>
  <c r="H46" i="3"/>
  <c r="F46" i="3"/>
  <c r="K43" i="3"/>
  <c r="J43" i="3"/>
  <c r="I43" i="3"/>
  <c r="H43" i="3"/>
  <c r="F43" i="3"/>
  <c r="K42" i="3"/>
  <c r="J42" i="3"/>
  <c r="I42" i="3"/>
  <c r="H42" i="3"/>
  <c r="F42" i="3"/>
  <c r="K41" i="3"/>
  <c r="J41" i="3"/>
  <c r="I41" i="3"/>
  <c r="H41" i="3"/>
  <c r="F41" i="3"/>
  <c r="K40" i="3"/>
  <c r="J40" i="3"/>
  <c r="I40" i="3"/>
  <c r="H40" i="3"/>
  <c r="F40" i="3"/>
  <c r="K39" i="3"/>
  <c r="J39" i="3"/>
  <c r="I39" i="3"/>
  <c r="H39" i="3"/>
  <c r="F39" i="3"/>
  <c r="K38" i="3"/>
  <c r="J38" i="3"/>
  <c r="I38" i="3"/>
  <c r="H38" i="3"/>
  <c r="F38" i="3"/>
  <c r="K37" i="3"/>
  <c r="J37" i="3"/>
  <c r="I37" i="3"/>
  <c r="H37" i="3"/>
  <c r="F37" i="3"/>
  <c r="K34" i="3"/>
  <c r="J34" i="3"/>
  <c r="I34" i="3"/>
  <c r="H34" i="3"/>
  <c r="F34" i="3"/>
  <c r="K33" i="3"/>
  <c r="K21" i="4" s="1"/>
  <c r="J33" i="3"/>
  <c r="J21" i="4" s="1"/>
  <c r="I33" i="3"/>
  <c r="I21" i="4" s="1"/>
  <c r="H33" i="3"/>
  <c r="H21" i="4" s="1"/>
  <c r="F33" i="3"/>
  <c r="F21" i="4" s="1"/>
  <c r="K32" i="3"/>
  <c r="J32" i="3"/>
  <c r="I32" i="3"/>
  <c r="H32" i="3"/>
  <c r="F32" i="3"/>
  <c r="F20" i="4" s="1"/>
  <c r="G20" i="4" s="1"/>
  <c r="K31" i="3"/>
  <c r="J31" i="3"/>
  <c r="I31" i="3"/>
  <c r="H31" i="3"/>
  <c r="F31" i="3"/>
  <c r="F19" i="4" s="1"/>
  <c r="K30" i="3"/>
  <c r="G9" i="8" s="1"/>
  <c r="J30" i="3"/>
  <c r="F9" i="8" s="1"/>
  <c r="I30" i="3"/>
  <c r="E9" i="8" s="1"/>
  <c r="H30" i="3"/>
  <c r="D9" i="8" s="1"/>
  <c r="F30" i="3"/>
  <c r="C9" i="8" s="1"/>
  <c r="K29" i="3"/>
  <c r="J29" i="3"/>
  <c r="I29" i="3"/>
  <c r="H29" i="3"/>
  <c r="F29" i="3"/>
  <c r="G29" i="3" s="1"/>
  <c r="K28" i="3"/>
  <c r="K7" i="7" s="1"/>
  <c r="J28" i="3"/>
  <c r="J7" i="7" s="1"/>
  <c r="I28" i="3"/>
  <c r="I7" i="7" s="1"/>
  <c r="H28" i="3"/>
  <c r="H7" i="7" s="1"/>
  <c r="F28" i="3"/>
  <c r="G28" i="3" s="1"/>
  <c r="K27" i="3"/>
  <c r="J27" i="3"/>
  <c r="I27" i="3"/>
  <c r="H27" i="3"/>
  <c r="F27" i="3"/>
  <c r="K26" i="3"/>
  <c r="J26" i="3"/>
  <c r="I26" i="3"/>
  <c r="H26" i="3"/>
  <c r="F26" i="3"/>
  <c r="G26" i="3" s="1"/>
  <c r="K25" i="3"/>
  <c r="J25" i="3"/>
  <c r="I25" i="3"/>
  <c r="H25" i="3"/>
  <c r="F25" i="3"/>
  <c r="G25" i="3" s="1"/>
  <c r="K24" i="3"/>
  <c r="J24" i="3"/>
  <c r="I24" i="3"/>
  <c r="H24" i="3"/>
  <c r="F24" i="3"/>
  <c r="G24" i="3" s="1"/>
  <c r="K23" i="3"/>
  <c r="J23" i="3"/>
  <c r="I23" i="3"/>
  <c r="H23" i="3"/>
  <c r="F23" i="3"/>
  <c r="G23" i="3" s="1"/>
  <c r="K22" i="3"/>
  <c r="J22" i="3"/>
  <c r="I22" i="3"/>
  <c r="H22" i="3"/>
  <c r="F22" i="3"/>
  <c r="G22" i="3" s="1"/>
  <c r="K18" i="3"/>
  <c r="J18" i="3"/>
  <c r="I18" i="3"/>
  <c r="H18" i="3"/>
  <c r="F18" i="3"/>
  <c r="E18" i="3"/>
  <c r="D18" i="3"/>
  <c r="F17" i="3"/>
  <c r="F8" i="4" s="1"/>
  <c r="G8" i="4" s="1"/>
  <c r="K15" i="3"/>
  <c r="J15" i="3"/>
  <c r="I15" i="3"/>
  <c r="H15" i="3"/>
  <c r="F15" i="3"/>
  <c r="F14" i="3"/>
  <c r="H14" i="3" s="1"/>
  <c r="I14" i="3" s="1"/>
  <c r="J14" i="3" s="1"/>
  <c r="K14" i="3" s="1"/>
  <c r="E14" i="3"/>
  <c r="D14" i="3"/>
  <c r="C14" i="3"/>
  <c r="K13" i="3"/>
  <c r="J13" i="3"/>
  <c r="I13" i="3"/>
  <c r="H13" i="3"/>
  <c r="F13" i="3"/>
  <c r="E13" i="3"/>
  <c r="D13" i="3"/>
  <c r="F12" i="3"/>
  <c r="G12" i="3" s="1"/>
  <c r="G13" i="3" s="1"/>
  <c r="K10" i="3"/>
  <c r="J10" i="3"/>
  <c r="I10" i="3"/>
  <c r="H10" i="3"/>
  <c r="F10" i="3"/>
  <c r="F9" i="3"/>
  <c r="E9" i="3"/>
  <c r="D9" i="3"/>
  <c r="C9" i="3"/>
  <c r="K8" i="3"/>
  <c r="J8" i="3"/>
  <c r="I8" i="3"/>
  <c r="H8" i="3"/>
  <c r="F8" i="3"/>
  <c r="E8" i="3"/>
  <c r="D8" i="3"/>
  <c r="F7" i="3"/>
  <c r="C4" i="3"/>
  <c r="C20" i="2"/>
  <c r="C19" i="2"/>
  <c r="C22" i="2" s="1"/>
  <c r="E29" i="1"/>
  <c r="D29" i="1"/>
  <c r="C29" i="1"/>
  <c r="E23" i="1"/>
  <c r="D23" i="1"/>
  <c r="C23" i="1"/>
  <c r="C10" i="1"/>
  <c r="C4" i="1"/>
  <c r="C9" i="10" l="1"/>
  <c r="C56" i="10"/>
  <c r="H9" i="3"/>
  <c r="I9" i="3" s="1"/>
  <c r="J9" i="3" s="1"/>
  <c r="K9" i="3" s="1"/>
  <c r="C31" i="1"/>
  <c r="C59" i="10"/>
  <c r="G11" i="7"/>
  <c r="G12" i="6"/>
  <c r="E31" i="1"/>
  <c r="F11" i="3"/>
  <c r="F6" i="4" s="1"/>
  <c r="G6" i="4" s="1"/>
  <c r="G24" i="6"/>
  <c r="C103" i="10"/>
  <c r="C108" i="10" s="1"/>
  <c r="G10" i="7"/>
  <c r="F13" i="7"/>
  <c r="C106" i="10"/>
  <c r="C109" i="10" s="1"/>
  <c r="C110" i="10" s="1"/>
  <c r="C111" i="10" s="1"/>
  <c r="D9" i="6"/>
  <c r="C9" i="6"/>
  <c r="C67" i="10"/>
  <c r="C69" i="10" s="1"/>
  <c r="D65" i="10" s="1"/>
  <c r="D67" i="10" s="1"/>
  <c r="D69" i="10" s="1"/>
  <c r="E65" i="10" s="1"/>
  <c r="C21" i="2"/>
  <c r="C23" i="2" s="1"/>
  <c r="F19" i="6"/>
  <c r="G16" i="7"/>
  <c r="G21" i="4"/>
  <c r="C116" i="10"/>
  <c r="D112" i="10" s="1"/>
  <c r="D114" i="10" s="1"/>
  <c r="D116" i="10" s="1"/>
  <c r="E112" i="10" s="1"/>
  <c r="F16" i="3"/>
  <c r="F19" i="3" s="1"/>
  <c r="E32" i="6"/>
  <c r="C19" i="6"/>
  <c r="G17" i="3"/>
  <c r="G18" i="3" s="1"/>
  <c r="D31" i="4"/>
  <c r="D32" i="1" s="1"/>
  <c r="C28" i="5"/>
  <c r="C12" i="10"/>
  <c r="C14" i="10" s="1"/>
  <c r="G18" i="7"/>
  <c r="F10" i="4"/>
  <c r="G11" i="3"/>
  <c r="C22" i="10"/>
  <c r="D18" i="10" s="1"/>
  <c r="H18" i="6"/>
  <c r="H21" i="6" s="1"/>
  <c r="D12" i="8"/>
  <c r="G22" i="7"/>
  <c r="I18" i="6"/>
  <c r="E12" i="8"/>
  <c r="D30" i="6"/>
  <c r="D29" i="6" s="1"/>
  <c r="C29" i="6"/>
  <c r="G14" i="7"/>
  <c r="G19" i="4"/>
  <c r="J18" i="6"/>
  <c r="F12" i="8"/>
  <c r="C13" i="1"/>
  <c r="G30" i="6"/>
  <c r="E30" i="6"/>
  <c r="C62" i="10"/>
  <c r="C61" i="10"/>
  <c r="C70" i="10" s="1"/>
  <c r="C71" i="10" s="1"/>
  <c r="I7" i="5"/>
  <c r="H19" i="6"/>
  <c r="F10" i="10"/>
  <c r="K18" i="6"/>
  <c r="G12" i="8"/>
  <c r="F12" i="4"/>
  <c r="G12" i="4" s="1"/>
  <c r="E19" i="6"/>
  <c r="E57" i="10"/>
  <c r="G7" i="3"/>
  <c r="G33" i="3"/>
  <c r="G13" i="5"/>
  <c r="G21" i="5"/>
  <c r="G22" i="6"/>
  <c r="D11" i="10"/>
  <c r="E11" i="10" s="1"/>
  <c r="F11" i="10" s="1"/>
  <c r="G11" i="10" s="1"/>
  <c r="E104" i="10"/>
  <c r="F7" i="7"/>
  <c r="D58" i="10"/>
  <c r="E58" i="10" s="1"/>
  <c r="F58" i="10" s="1"/>
  <c r="G58" i="10" s="1"/>
  <c r="E31" i="6"/>
  <c r="D29" i="4"/>
  <c r="D7" i="10"/>
  <c r="E29" i="4"/>
  <c r="D54" i="10"/>
  <c r="E9" i="6"/>
  <c r="G9" i="6" s="1"/>
  <c r="F8" i="7"/>
  <c r="H12" i="3"/>
  <c r="F23" i="6"/>
  <c r="G23" i="6" s="1"/>
  <c r="D101" i="10"/>
  <c r="D30" i="4"/>
  <c r="D30" i="1" s="1"/>
  <c r="E30" i="4"/>
  <c r="E30" i="1" s="1"/>
  <c r="G7" i="5"/>
  <c r="F18" i="5"/>
  <c r="G16" i="3" l="1"/>
  <c r="G14" i="3" s="1"/>
  <c r="F11" i="4"/>
  <c r="G11" i="4" s="1"/>
  <c r="E29" i="6"/>
  <c r="C78" i="10"/>
  <c r="E22" i="1" s="1"/>
  <c r="F121" i="10"/>
  <c r="G27" i="10"/>
  <c r="F27" i="10"/>
  <c r="C125" i="10"/>
  <c r="C22" i="1" s="1"/>
  <c r="C31" i="10"/>
  <c r="D22" i="1" s="1"/>
  <c r="G74" i="10"/>
  <c r="D74" i="10"/>
  <c r="C74" i="10"/>
  <c r="D27" i="10"/>
  <c r="C22" i="8"/>
  <c r="C23" i="8" s="1"/>
  <c r="C17" i="13" s="1"/>
  <c r="G121" i="10"/>
  <c r="C121" i="10"/>
  <c r="E27" i="10"/>
  <c r="E121" i="10"/>
  <c r="D121" i="10"/>
  <c r="C27" i="10"/>
  <c r="E74" i="10"/>
  <c r="F74" i="10"/>
  <c r="C15" i="10"/>
  <c r="C23" i="10" s="1"/>
  <c r="C24" i="10" s="1"/>
  <c r="H17" i="3"/>
  <c r="H12" i="4" s="1"/>
  <c r="G13" i="7"/>
  <c r="H10" i="7"/>
  <c r="H13" i="7" s="1"/>
  <c r="E12" i="10"/>
  <c r="G9" i="3"/>
  <c r="G19" i="6"/>
  <c r="F7" i="4"/>
  <c r="G7" i="4" s="1"/>
  <c r="E67" i="10"/>
  <c r="E69" i="10" s="1"/>
  <c r="F65" i="10" s="1"/>
  <c r="E114" i="10"/>
  <c r="E116" i="10" s="1"/>
  <c r="F112" i="10" s="1"/>
  <c r="F18" i="6"/>
  <c r="C12" i="8"/>
  <c r="G7" i="7"/>
  <c r="F12" i="10"/>
  <c r="G10" i="10"/>
  <c r="G12" i="10" s="1"/>
  <c r="F10" i="5"/>
  <c r="F9" i="4"/>
  <c r="F17" i="5"/>
  <c r="F16" i="4"/>
  <c r="G16" i="4" s="1"/>
  <c r="F15" i="7"/>
  <c r="G19" i="3"/>
  <c r="F19" i="5"/>
  <c r="F16" i="5"/>
  <c r="G16" i="5" s="1"/>
  <c r="F8" i="5"/>
  <c r="F15" i="4"/>
  <c r="G15" i="4" s="1"/>
  <c r="F13" i="4"/>
  <c r="G10" i="4"/>
  <c r="J7" i="5"/>
  <c r="I19" i="6"/>
  <c r="I21" i="6" s="1"/>
  <c r="D20" i="10"/>
  <c r="D22" i="10"/>
  <c r="E18" i="10" s="1"/>
  <c r="C63" i="10"/>
  <c r="C64" i="10" s="1"/>
  <c r="C72" i="10" s="1"/>
  <c r="C117" i="10"/>
  <c r="C118" i="10" s="1"/>
  <c r="C119" i="10" s="1"/>
  <c r="E59" i="10"/>
  <c r="F57" i="10"/>
  <c r="D9" i="10"/>
  <c r="E7" i="10"/>
  <c r="E106" i="10"/>
  <c r="F104" i="10"/>
  <c r="G18" i="5"/>
  <c r="H20" i="4"/>
  <c r="G8" i="3"/>
  <c r="H7" i="3"/>
  <c r="F9" i="7"/>
  <c r="D59" i="10"/>
  <c r="H16" i="3"/>
  <c r="I12" i="3"/>
  <c r="F7" i="6"/>
  <c r="G7" i="6" s="1"/>
  <c r="G8" i="7"/>
  <c r="C11" i="8"/>
  <c r="D103" i="10"/>
  <c r="E101" i="10"/>
  <c r="D56" i="10"/>
  <c r="E54" i="10"/>
  <c r="D12" i="10"/>
  <c r="C16" i="10" l="1"/>
  <c r="C17" i="10" s="1"/>
  <c r="C122" i="10"/>
  <c r="C75" i="10"/>
  <c r="I17" i="3"/>
  <c r="I10" i="7"/>
  <c r="I13" i="7" s="1"/>
  <c r="H18" i="5"/>
  <c r="I20" i="4" s="1"/>
  <c r="H8" i="4"/>
  <c r="C18" i="8"/>
  <c r="D18" i="8"/>
  <c r="F18" i="8"/>
  <c r="C12" i="1"/>
  <c r="E18" i="8"/>
  <c r="C25" i="10"/>
  <c r="C28" i="10" s="1"/>
  <c r="G18" i="8"/>
  <c r="F114" i="10"/>
  <c r="F116" i="10" s="1"/>
  <c r="G112" i="10" s="1"/>
  <c r="F67" i="10"/>
  <c r="F69" i="10" s="1"/>
  <c r="G65" i="10" s="1"/>
  <c r="F15" i="5"/>
  <c r="F9" i="5"/>
  <c r="C13" i="8" s="1"/>
  <c r="C14" i="8" s="1"/>
  <c r="G13" i="4"/>
  <c r="D15" i="10"/>
  <c r="D14" i="10"/>
  <c r="D23" i="10" s="1"/>
  <c r="D24" i="10" s="1"/>
  <c r="G15" i="7"/>
  <c r="F8" i="6"/>
  <c r="G8" i="6" s="1"/>
  <c r="F17" i="7"/>
  <c r="F59" i="10"/>
  <c r="G57" i="10"/>
  <c r="G59" i="10" s="1"/>
  <c r="D61" i="10"/>
  <c r="D62" i="10"/>
  <c r="D63" i="10" s="1"/>
  <c r="D64" i="10" s="1"/>
  <c r="E20" i="10"/>
  <c r="E22" i="10" s="1"/>
  <c r="F18" i="10" s="1"/>
  <c r="F10" i="6"/>
  <c r="G10" i="6" s="1"/>
  <c r="G8" i="5"/>
  <c r="E56" i="10"/>
  <c r="F54" i="10"/>
  <c r="D108" i="10"/>
  <c r="D109" i="10"/>
  <c r="D110" i="10" s="1"/>
  <c r="D111" i="10" s="1"/>
  <c r="F14" i="4"/>
  <c r="C7" i="8"/>
  <c r="F29" i="1"/>
  <c r="G9" i="4"/>
  <c r="J19" i="6"/>
  <c r="J21" i="6" s="1"/>
  <c r="K7" i="5"/>
  <c r="K19" i="6" s="1"/>
  <c r="K21" i="6" s="1"/>
  <c r="E9" i="10"/>
  <c r="F7" i="10"/>
  <c r="F15" i="6"/>
  <c r="G15" i="6" s="1"/>
  <c r="G17" i="5"/>
  <c r="G10" i="5"/>
  <c r="F13" i="6"/>
  <c r="G13" i="6" s="1"/>
  <c r="F16" i="6"/>
  <c r="G16" i="6" s="1"/>
  <c r="G19" i="5"/>
  <c r="I16" i="3"/>
  <c r="J12" i="3"/>
  <c r="H6" i="7"/>
  <c r="G9" i="7"/>
  <c r="F12" i="5"/>
  <c r="G12" i="5" s="1"/>
  <c r="E103" i="10"/>
  <c r="F101" i="10"/>
  <c r="F106" i="10"/>
  <c r="G104" i="10"/>
  <c r="G106" i="10" s="1"/>
  <c r="J17" i="3"/>
  <c r="I8" i="4"/>
  <c r="I12" i="4"/>
  <c r="H11" i="4"/>
  <c r="H7" i="4"/>
  <c r="I7" i="3"/>
  <c r="H11" i="3"/>
  <c r="F21" i="6"/>
  <c r="G21" i="6" s="1"/>
  <c r="G18" i="6"/>
  <c r="I18" i="5" l="1"/>
  <c r="J20" i="4" s="1"/>
  <c r="J10" i="7"/>
  <c r="J13" i="7" s="1"/>
  <c r="G114" i="10"/>
  <c r="G116" i="10" s="1"/>
  <c r="F20" i="10"/>
  <c r="F22" i="10" s="1"/>
  <c r="G18" i="10" s="1"/>
  <c r="G67" i="10"/>
  <c r="G69" i="10" s="1"/>
  <c r="I11" i="4"/>
  <c r="I7" i="4"/>
  <c r="H8" i="7"/>
  <c r="H9" i="7" s="1"/>
  <c r="D70" i="10"/>
  <c r="D71" i="10" s="1"/>
  <c r="D72" i="10" s="1"/>
  <c r="D75" i="10" s="1"/>
  <c r="H6" i="4"/>
  <c r="H19" i="3"/>
  <c r="H10" i="4"/>
  <c r="H13" i="4" s="1"/>
  <c r="J7" i="3"/>
  <c r="I11" i="3"/>
  <c r="D16" i="10"/>
  <c r="D17" i="10" s="1"/>
  <c r="D25" i="10" s="1"/>
  <c r="D28" i="10" s="1"/>
  <c r="G9" i="5"/>
  <c r="F11" i="6"/>
  <c r="G11" i="6" s="1"/>
  <c r="G14" i="4"/>
  <c r="G30" i="4" s="1"/>
  <c r="G30" i="1" s="1"/>
  <c r="F30" i="4"/>
  <c r="F30" i="1" s="1"/>
  <c r="F18" i="4"/>
  <c r="J8" i="4"/>
  <c r="K17" i="3"/>
  <c r="J12" i="4"/>
  <c r="F9" i="10"/>
  <c r="G7" i="10"/>
  <c r="G9" i="10" s="1"/>
  <c r="F56" i="10"/>
  <c r="G54" i="10"/>
  <c r="G56" i="10" s="1"/>
  <c r="J16" i="3"/>
  <c r="K12" i="3"/>
  <c r="K16" i="3" s="1"/>
  <c r="F22" i="5"/>
  <c r="H14" i="7"/>
  <c r="G17" i="7"/>
  <c r="E15" i="10"/>
  <c r="E14" i="10"/>
  <c r="E23" i="10" s="1"/>
  <c r="E24" i="10" s="1"/>
  <c r="G29" i="1"/>
  <c r="G29" i="4"/>
  <c r="G15" i="5"/>
  <c r="F20" i="5"/>
  <c r="F14" i="6"/>
  <c r="G14" i="6" s="1"/>
  <c r="D117" i="10"/>
  <c r="D118" i="10" s="1"/>
  <c r="D119" i="10" s="1"/>
  <c r="D122" i="10" s="1"/>
  <c r="F103" i="10"/>
  <c r="G101" i="10"/>
  <c r="G103" i="10" s="1"/>
  <c r="E108" i="10"/>
  <c r="E109" i="10"/>
  <c r="E110" i="10" s="1"/>
  <c r="E111" i="10" s="1"/>
  <c r="E61" i="10"/>
  <c r="E62" i="10"/>
  <c r="E63" i="10" s="1"/>
  <c r="E64" i="10" s="1"/>
  <c r="K10" i="7" l="1"/>
  <c r="K13" i="7" s="1"/>
  <c r="K18" i="5" s="1"/>
  <c r="C14" i="13" s="1"/>
  <c r="J18" i="5"/>
  <c r="K20" i="4" s="1"/>
  <c r="H12" i="5"/>
  <c r="I6" i="7"/>
  <c r="G20" i="10"/>
  <c r="G22" i="10" s="1"/>
  <c r="G109" i="10"/>
  <c r="G108" i="10"/>
  <c r="G20" i="5"/>
  <c r="H9" i="4"/>
  <c r="H17" i="5"/>
  <c r="H15" i="6" s="1"/>
  <c r="H16" i="4"/>
  <c r="H15" i="7"/>
  <c r="H8" i="6" s="1"/>
  <c r="H19" i="5"/>
  <c r="H16" i="6" s="1"/>
  <c r="H16" i="5"/>
  <c r="H8" i="5"/>
  <c r="H15" i="4"/>
  <c r="H10" i="5"/>
  <c r="H13" i="6" s="1"/>
  <c r="F108" i="10"/>
  <c r="F109" i="10"/>
  <c r="I6" i="4"/>
  <c r="I10" i="4"/>
  <c r="I13" i="4" s="1"/>
  <c r="I19" i="3"/>
  <c r="K11" i="4"/>
  <c r="K7" i="4"/>
  <c r="F14" i="10"/>
  <c r="F15" i="10"/>
  <c r="C8" i="8"/>
  <c r="C10" i="8" s="1"/>
  <c r="C16" i="8" s="1"/>
  <c r="F22" i="4"/>
  <c r="F31" i="1"/>
  <c r="G18" i="4"/>
  <c r="F31" i="4"/>
  <c r="F32" i="1" s="1"/>
  <c r="J11" i="3"/>
  <c r="K7" i="3"/>
  <c r="K11" i="3" s="1"/>
  <c r="H15" i="5"/>
  <c r="H9" i="5"/>
  <c r="H11" i="6" s="1"/>
  <c r="H7" i="6"/>
  <c r="D11" i="8"/>
  <c r="G61" i="10"/>
  <c r="G62" i="10"/>
  <c r="G63" i="10" s="1"/>
  <c r="G64" i="10" s="1"/>
  <c r="F61" i="10"/>
  <c r="F62" i="10"/>
  <c r="F63" i="10" s="1"/>
  <c r="F64" i="10" s="1"/>
  <c r="G14" i="10"/>
  <c r="G15" i="10"/>
  <c r="G16" i="10" s="1"/>
  <c r="G17" i="10" s="1"/>
  <c r="E16" i="10"/>
  <c r="E17" i="10" s="1"/>
  <c r="E25" i="10" s="1"/>
  <c r="E28" i="10" s="1"/>
  <c r="G22" i="5"/>
  <c r="J11" i="4"/>
  <c r="J7" i="4"/>
  <c r="E70" i="10"/>
  <c r="E71" i="10" s="1"/>
  <c r="E72" i="10" s="1"/>
  <c r="E75" i="10" s="1"/>
  <c r="E117" i="10"/>
  <c r="E118" i="10" s="1"/>
  <c r="E119" i="10" s="1"/>
  <c r="E122" i="10" s="1"/>
  <c r="K8" i="4"/>
  <c r="K12" i="4"/>
  <c r="F110" i="10" l="1"/>
  <c r="F111" i="10" s="1"/>
  <c r="F16" i="10"/>
  <c r="F17" i="10" s="1"/>
  <c r="G117" i="10"/>
  <c r="C81" i="10"/>
  <c r="C82" i="10" s="1"/>
  <c r="C84" i="10" s="1"/>
  <c r="I15" i="5"/>
  <c r="I9" i="5"/>
  <c r="I11" i="6" s="1"/>
  <c r="F70" i="10"/>
  <c r="F71" i="10" s="1"/>
  <c r="I17" i="5"/>
  <c r="I15" i="6" s="1"/>
  <c r="I16" i="4"/>
  <c r="I15" i="7"/>
  <c r="I8" i="6" s="1"/>
  <c r="I19" i="5"/>
  <c r="I16" i="6" s="1"/>
  <c r="I16" i="5"/>
  <c r="I8" i="5"/>
  <c r="I15" i="4"/>
  <c r="I10" i="5"/>
  <c r="I13" i="6" s="1"/>
  <c r="I9" i="4"/>
  <c r="H14" i="4"/>
  <c r="D7" i="8"/>
  <c r="H29" i="4"/>
  <c r="H29" i="1"/>
  <c r="C34" i="10"/>
  <c r="C35" i="10" s="1"/>
  <c r="C37" i="10" s="1"/>
  <c r="G25" i="10"/>
  <c r="G28" i="10" s="1"/>
  <c r="C36" i="10" s="1"/>
  <c r="F117" i="10"/>
  <c r="F118" i="10" s="1"/>
  <c r="F119" i="10" s="1"/>
  <c r="F122" i="10" s="1"/>
  <c r="K6" i="4"/>
  <c r="K10" i="4"/>
  <c r="K13" i="4" s="1"/>
  <c r="K19" i="3"/>
  <c r="G70" i="10"/>
  <c r="H10" i="6"/>
  <c r="D13" i="8"/>
  <c r="D14" i="8" s="1"/>
  <c r="H17" i="7"/>
  <c r="G31" i="1"/>
  <c r="G31" i="4"/>
  <c r="G32" i="1" s="1"/>
  <c r="G110" i="10"/>
  <c r="G111" i="10" s="1"/>
  <c r="F23" i="10"/>
  <c r="F24" i="10" s="1"/>
  <c r="F25" i="10" s="1"/>
  <c r="F28" i="10" s="1"/>
  <c r="G23" i="10"/>
  <c r="G24" i="10" s="1"/>
  <c r="J6" i="4"/>
  <c r="J10" i="4"/>
  <c r="J13" i="4" s="1"/>
  <c r="J19" i="3"/>
  <c r="G22" i="4"/>
  <c r="F23" i="4"/>
  <c r="G23" i="4" s="1"/>
  <c r="F72" i="10"/>
  <c r="F75" i="10" s="1"/>
  <c r="H20" i="5"/>
  <c r="H14" i="6"/>
  <c r="C19" i="8"/>
  <c r="I8" i="7"/>
  <c r="I9" i="7" s="1"/>
  <c r="G118" i="10" l="1"/>
  <c r="C38" i="10"/>
  <c r="C46" i="10"/>
  <c r="I12" i="5"/>
  <c r="J6" i="7"/>
  <c r="J15" i="5"/>
  <c r="J9" i="5"/>
  <c r="J11" i="6" s="1"/>
  <c r="C128" i="10"/>
  <c r="C129" i="10" s="1"/>
  <c r="C131" i="10" s="1"/>
  <c r="G119" i="10"/>
  <c r="G122" i="10" s="1"/>
  <c r="C130" i="10" s="1"/>
  <c r="C47" i="10"/>
  <c r="D24" i="1" s="1"/>
  <c r="F24" i="4"/>
  <c r="H22" i="5"/>
  <c r="I14" i="7"/>
  <c r="I17" i="7" s="1"/>
  <c r="I14" i="4"/>
  <c r="I29" i="1"/>
  <c r="E7" i="8"/>
  <c r="I29" i="4"/>
  <c r="I20" i="5"/>
  <c r="I14" i="6"/>
  <c r="J17" i="5"/>
  <c r="J15" i="6" s="1"/>
  <c r="J16" i="4"/>
  <c r="J15" i="7"/>
  <c r="J8" i="6" s="1"/>
  <c r="J19" i="5"/>
  <c r="J16" i="6" s="1"/>
  <c r="J16" i="5"/>
  <c r="J8" i="5"/>
  <c r="J15" i="4"/>
  <c r="J10" i="5"/>
  <c r="J13" i="6" s="1"/>
  <c r="J9" i="4"/>
  <c r="G71" i="10"/>
  <c r="G72" i="10" s="1"/>
  <c r="G75" i="10" s="1"/>
  <c r="C83" i="10" s="1"/>
  <c r="I10" i="6"/>
  <c r="E13" i="8"/>
  <c r="E14" i="8" s="1"/>
  <c r="K17" i="5"/>
  <c r="K16" i="4"/>
  <c r="K15" i="7"/>
  <c r="K8" i="6" s="1"/>
  <c r="K19" i="5"/>
  <c r="K16" i="5"/>
  <c r="K8" i="5"/>
  <c r="K15" i="4"/>
  <c r="K10" i="5"/>
  <c r="K13" i="6" s="1"/>
  <c r="K9" i="4"/>
  <c r="K9" i="5"/>
  <c r="K11" i="6" s="1"/>
  <c r="K15" i="5"/>
  <c r="I7" i="6"/>
  <c r="E11" i="8"/>
  <c r="H30" i="4"/>
  <c r="H30" i="1" s="1"/>
  <c r="H18" i="4"/>
  <c r="K20" i="5" l="1"/>
  <c r="K14" i="6"/>
  <c r="D8" i="8"/>
  <c r="D10" i="8" s="1"/>
  <c r="D16" i="8" s="1"/>
  <c r="H31" i="1"/>
  <c r="H31" i="4"/>
  <c r="H32" i="1" s="1"/>
  <c r="K14" i="4"/>
  <c r="G7" i="8"/>
  <c r="K29" i="4"/>
  <c r="K29" i="1"/>
  <c r="G13" i="8"/>
  <c r="K10" i="6"/>
  <c r="F25" i="4"/>
  <c r="G24" i="4"/>
  <c r="F6" i="6"/>
  <c r="F26" i="4"/>
  <c r="C141" i="10"/>
  <c r="C24" i="1" s="1"/>
  <c r="J20" i="5"/>
  <c r="J14" i="6"/>
  <c r="I30" i="4"/>
  <c r="I30" i="1" s="1"/>
  <c r="I18" i="4"/>
  <c r="K15" i="6"/>
  <c r="J14" i="4"/>
  <c r="J29" i="1"/>
  <c r="F7" i="8"/>
  <c r="J29" i="4"/>
  <c r="K16" i="6"/>
  <c r="I22" i="5"/>
  <c r="J14" i="7"/>
  <c r="J17" i="7" s="1"/>
  <c r="C140" i="10"/>
  <c r="C132" i="10"/>
  <c r="C85" i="10"/>
  <c r="C93" i="10"/>
  <c r="J8" i="7"/>
  <c r="J10" i="6"/>
  <c r="F13" i="8"/>
  <c r="F14" i="8" s="1"/>
  <c r="D19" i="1"/>
  <c r="C42" i="10"/>
  <c r="F32" i="6" l="1"/>
  <c r="F17" i="6"/>
  <c r="G6" i="6"/>
  <c r="G32" i="6" s="1"/>
  <c r="J7" i="6"/>
  <c r="F11" i="8"/>
  <c r="F19" i="7"/>
  <c r="F33" i="1"/>
  <c r="G26" i="4"/>
  <c r="F28" i="4"/>
  <c r="F23" i="7"/>
  <c r="G25" i="4"/>
  <c r="C89" i="10"/>
  <c r="E19" i="1"/>
  <c r="C94" i="10"/>
  <c r="E24" i="1" s="1"/>
  <c r="C19" i="1"/>
  <c r="C136" i="10"/>
  <c r="J22" i="5"/>
  <c r="K14" i="7"/>
  <c r="K17" i="7" s="1"/>
  <c r="K22" i="5" s="1"/>
  <c r="E8" i="8"/>
  <c r="E10" i="8" s="1"/>
  <c r="E16" i="8" s="1"/>
  <c r="E19" i="8" s="1"/>
  <c r="I31" i="4"/>
  <c r="I32" i="1" s="1"/>
  <c r="I31" i="1"/>
  <c r="J9" i="7"/>
  <c r="C44" i="10"/>
  <c r="D21" i="1" s="1"/>
  <c r="D20" i="1"/>
  <c r="G14" i="8"/>
  <c r="K30" i="4"/>
  <c r="K30" i="1" s="1"/>
  <c r="K18" i="4"/>
  <c r="D19" i="8"/>
  <c r="J30" i="4"/>
  <c r="J30" i="1" s="1"/>
  <c r="J18" i="4"/>
  <c r="C138" i="10" l="1"/>
  <c r="C21" i="1" s="1"/>
  <c r="C20" i="1"/>
  <c r="F24" i="7"/>
  <c r="G23" i="7"/>
  <c r="F25" i="7"/>
  <c r="G33" i="1"/>
  <c r="G28" i="4"/>
  <c r="G19" i="7"/>
  <c r="F21" i="7"/>
  <c r="G8" i="8"/>
  <c r="G10" i="8" s="1"/>
  <c r="K31" i="1"/>
  <c r="K31" i="4"/>
  <c r="K32" i="1" s="1"/>
  <c r="C91" i="10"/>
  <c r="E21" i="1" s="1"/>
  <c r="E20" i="1"/>
  <c r="F8" i="8"/>
  <c r="F10" i="8" s="1"/>
  <c r="F16" i="8" s="1"/>
  <c r="J31" i="1"/>
  <c r="J31" i="4"/>
  <c r="J32" i="1" s="1"/>
  <c r="G17" i="6"/>
  <c r="J12" i="5"/>
  <c r="K6" i="7"/>
  <c r="F23" i="5" l="1"/>
  <c r="H18" i="7"/>
  <c r="G21" i="7"/>
  <c r="F25" i="5"/>
  <c r="G25" i="5" s="1"/>
  <c r="H22" i="7"/>
  <c r="G25" i="7"/>
  <c r="K8" i="7"/>
  <c r="K9" i="7" s="1"/>
  <c r="K12" i="5" s="1"/>
  <c r="G24" i="7"/>
  <c r="F25" i="6"/>
  <c r="F19" i="8"/>
  <c r="C26" i="8"/>
  <c r="C27" i="8" s="1"/>
  <c r="C29" i="8" s="1"/>
  <c r="C15" i="13" l="1"/>
  <c r="G23" i="5"/>
  <c r="F24" i="5"/>
  <c r="F26" i="6"/>
  <c r="G25" i="6"/>
  <c r="K7" i="6"/>
  <c r="G11" i="8"/>
  <c r="G16" i="8" s="1"/>
  <c r="G19" i="8" l="1"/>
  <c r="C28" i="8" s="1"/>
  <c r="H38" i="9"/>
  <c r="E14" i="9"/>
  <c r="F26" i="9"/>
  <c r="F36" i="9"/>
  <c r="D29" i="9"/>
  <c r="J15" i="9"/>
  <c r="J29" i="9"/>
  <c r="E28" i="9"/>
  <c r="J12" i="9"/>
  <c r="I16" i="9"/>
  <c r="E27" i="9"/>
  <c r="D36" i="9"/>
  <c r="H35" i="9"/>
  <c r="I10" i="9"/>
  <c r="D24" i="9"/>
  <c r="H37" i="9"/>
  <c r="J24" i="9"/>
  <c r="G10" i="9"/>
  <c r="H27" i="9"/>
  <c r="J21" i="9"/>
  <c r="D38" i="9"/>
  <c r="H13" i="9"/>
  <c r="E25" i="9"/>
  <c r="E23" i="9"/>
  <c r="F25" i="9"/>
  <c r="G16" i="9"/>
  <c r="J16" i="9"/>
  <c r="D21" i="9"/>
  <c r="F11" i="9"/>
  <c r="G24" i="9"/>
  <c r="F27" i="9"/>
  <c r="H24" i="9"/>
  <c r="H9" i="9"/>
  <c r="H25" i="9"/>
  <c r="I22" i="9"/>
  <c r="G36" i="9"/>
  <c r="D37" i="9"/>
  <c r="J10" i="9"/>
  <c r="G14" i="9"/>
  <c r="G9" i="9"/>
  <c r="E22" i="9"/>
  <c r="E8" i="9"/>
  <c r="D28" i="9"/>
  <c r="D39" i="9"/>
  <c r="F37" i="9"/>
  <c r="F12" i="9"/>
  <c r="G21" i="9"/>
  <c r="I11" i="9"/>
  <c r="F29" i="9"/>
  <c r="G35" i="9"/>
  <c r="E36" i="9"/>
  <c r="H12" i="9"/>
  <c r="I26" i="9"/>
  <c r="H22" i="9"/>
  <c r="G11" i="9"/>
  <c r="F15" i="9"/>
  <c r="F21" i="9"/>
  <c r="E10" i="9"/>
  <c r="G23" i="9"/>
  <c r="F13" i="9"/>
  <c r="I21" i="9"/>
  <c r="G8" i="9"/>
  <c r="D14" i="9"/>
  <c r="H39" i="9"/>
  <c r="F39" i="9"/>
  <c r="J25" i="9"/>
  <c r="G39" i="9"/>
  <c r="J26" i="9"/>
  <c r="I12" i="9"/>
  <c r="D27" i="9"/>
  <c r="H15" i="9"/>
  <c r="H26" i="9"/>
  <c r="F35" i="9"/>
  <c r="J28" i="9"/>
  <c r="J23" i="9"/>
  <c r="I9" i="9"/>
  <c r="G15" i="9"/>
  <c r="D23" i="9"/>
  <c r="F24" i="9"/>
  <c r="E16" i="9"/>
  <c r="D22" i="9"/>
  <c r="D26" i="9"/>
  <c r="H36" i="9"/>
  <c r="E37" i="9"/>
  <c r="H8" i="9"/>
  <c r="G38" i="9"/>
  <c r="H14" i="9"/>
  <c r="G29" i="9"/>
  <c r="I29" i="9"/>
  <c r="H28" i="9"/>
  <c r="H21" i="9"/>
  <c r="G25" i="9"/>
  <c r="D9" i="9"/>
  <c r="F8" i="9"/>
  <c r="F10" i="9"/>
  <c r="I25" i="9"/>
  <c r="E35" i="9"/>
  <c r="H29" i="9"/>
  <c r="G27" i="9"/>
  <c r="I14" i="9"/>
  <c r="H23" i="9"/>
  <c r="D13" i="9"/>
  <c r="F9" i="9"/>
  <c r="I15" i="9"/>
  <c r="E29" i="9"/>
  <c r="F22" i="9"/>
  <c r="E13" i="9"/>
  <c r="E21" i="9"/>
  <c r="F23" i="9"/>
  <c r="D11" i="9"/>
  <c r="H16" i="9"/>
  <c r="J14" i="9"/>
  <c r="G12" i="9"/>
  <c r="H11" i="9"/>
  <c r="E12" i="9"/>
  <c r="E39" i="9"/>
  <c r="I8" i="9"/>
  <c r="J9" i="9"/>
  <c r="J8" i="9"/>
  <c r="J11" i="9"/>
  <c r="D35" i="9"/>
  <c r="F16" i="9"/>
  <c r="G22" i="9"/>
  <c r="E15" i="9"/>
  <c r="I24" i="9"/>
  <c r="I23" i="9"/>
  <c r="D25" i="9"/>
  <c r="H10" i="9"/>
  <c r="G26" i="9"/>
  <c r="F14" i="9"/>
  <c r="J27" i="9"/>
  <c r="F28" i="9"/>
  <c r="I13" i="9"/>
  <c r="G37" i="9"/>
  <c r="J13" i="9"/>
  <c r="J22" i="9"/>
  <c r="D8" i="9"/>
  <c r="I28" i="9"/>
  <c r="I27" i="9"/>
  <c r="E11" i="9"/>
  <c r="D10" i="9"/>
  <c r="G28" i="9"/>
  <c r="D15" i="9"/>
  <c r="D16" i="9"/>
  <c r="F38" i="9"/>
  <c r="E26" i="9"/>
  <c r="G13" i="9"/>
  <c r="E38" i="9"/>
  <c r="E24" i="9"/>
  <c r="E9" i="9"/>
  <c r="D12" i="9"/>
  <c r="G26" i="6"/>
  <c r="F29" i="6"/>
  <c r="F26" i="5"/>
  <c r="G24" i="5"/>
  <c r="F31" i="6" l="1"/>
  <c r="G29" i="6"/>
  <c r="G26" i="5"/>
  <c r="F27" i="5"/>
  <c r="G27" i="5" s="1"/>
  <c r="C40" i="8"/>
  <c r="C30" i="8"/>
  <c r="F6" i="5" l="1"/>
  <c r="G31" i="6"/>
  <c r="C34" i="8"/>
  <c r="C7" i="1"/>
  <c r="C39" i="8"/>
  <c r="C14" i="1" s="1"/>
  <c r="C36" i="8" l="1"/>
  <c r="C8" i="1"/>
  <c r="D44" i="9"/>
  <c r="D43" i="9"/>
  <c r="H30" i="6"/>
  <c r="F29" i="5"/>
  <c r="H19" i="4"/>
  <c r="H22" i="4" s="1"/>
  <c r="G6" i="5"/>
  <c r="G29" i="5" s="1"/>
  <c r="F11" i="5"/>
  <c r="H23" i="4" l="1"/>
  <c r="H24" i="4" s="1"/>
  <c r="F14" i="5"/>
  <c r="G11" i="5"/>
  <c r="C16" i="13"/>
  <c r="C9" i="1"/>
  <c r="C38" i="8"/>
  <c r="C11" i="1" s="1"/>
  <c r="F28" i="5" l="1"/>
  <c r="C6" i="13"/>
  <c r="G14" i="5"/>
  <c r="G28" i="5" s="1"/>
  <c r="H25" i="4"/>
  <c r="H23" i="7" s="1"/>
  <c r="H6" i="6"/>
  <c r="H26" i="4"/>
  <c r="H32" i="6" l="1"/>
  <c r="H17" i="6"/>
  <c r="H19" i="7"/>
  <c r="H21" i="7" s="1"/>
  <c r="H33" i="1"/>
  <c r="H28" i="4"/>
  <c r="H24" i="7"/>
  <c r="H25" i="6" s="1"/>
  <c r="H26" i="6" s="1"/>
  <c r="H25" i="7"/>
  <c r="H25" i="5" l="1"/>
  <c r="I22" i="7"/>
  <c r="H23" i="5"/>
  <c r="H24" i="5" s="1"/>
  <c r="I18" i="7"/>
  <c r="H29" i="6"/>
  <c r="H31" i="6" s="1"/>
  <c r="H6" i="5" s="1"/>
  <c r="H26" i="5" l="1"/>
  <c r="H27" i="5" s="1"/>
  <c r="I19" i="4"/>
  <c r="I22" i="4" s="1"/>
  <c r="H11" i="5"/>
  <c r="H14" i="5" s="1"/>
  <c r="I30" i="6"/>
  <c r="H29" i="5"/>
  <c r="H28" i="5" l="1"/>
  <c r="C7" i="13"/>
  <c r="I23" i="4"/>
  <c r="I24" i="4" s="1"/>
  <c r="I6" i="6" l="1"/>
  <c r="I25" i="4"/>
  <c r="I23" i="7" s="1"/>
  <c r="I24" i="7" l="1"/>
  <c r="I25" i="6" s="1"/>
  <c r="I26" i="6" s="1"/>
  <c r="I25" i="7"/>
  <c r="I26" i="4"/>
  <c r="I32" i="6"/>
  <c r="I17" i="6"/>
  <c r="I29" i="6" s="1"/>
  <c r="I31" i="6" s="1"/>
  <c r="I6" i="5" s="1"/>
  <c r="J19" i="4" l="1"/>
  <c r="J22" i="4" s="1"/>
  <c r="I11" i="5"/>
  <c r="I14" i="5" s="1"/>
  <c r="J30" i="6"/>
  <c r="I29" i="5"/>
  <c r="I19" i="7"/>
  <c r="I21" i="7" s="1"/>
  <c r="I33" i="1"/>
  <c r="I28" i="4"/>
  <c r="I25" i="5"/>
  <c r="J22" i="7"/>
  <c r="I23" i="5" l="1"/>
  <c r="I24" i="5" s="1"/>
  <c r="I26" i="5" s="1"/>
  <c r="I27" i="5" s="1"/>
  <c r="I28" i="5" s="1"/>
  <c r="J18" i="7"/>
  <c r="J23" i="4"/>
  <c r="J24" i="4" s="1"/>
  <c r="C8" i="13" l="1"/>
  <c r="J6" i="6"/>
  <c r="J25" i="4"/>
  <c r="J23" i="7" s="1"/>
  <c r="J24" i="7" l="1"/>
  <c r="J25" i="6" s="1"/>
  <c r="J26" i="6" s="1"/>
  <c r="J25" i="7"/>
  <c r="J26" i="4"/>
  <c r="J32" i="6"/>
  <c r="J17" i="6"/>
  <c r="J29" i="6" s="1"/>
  <c r="J31" i="6" s="1"/>
  <c r="J6" i="5" s="1"/>
  <c r="K19" i="4" l="1"/>
  <c r="K22" i="4" s="1"/>
  <c r="J11" i="5"/>
  <c r="J14" i="5" s="1"/>
  <c r="K30" i="6"/>
  <c r="J29" i="5"/>
  <c r="J19" i="7"/>
  <c r="J21" i="7" s="1"/>
  <c r="J33" i="1"/>
  <c r="J28" i="4"/>
  <c r="J25" i="5"/>
  <c r="K22" i="7"/>
  <c r="J23" i="5" l="1"/>
  <c r="J24" i="5" s="1"/>
  <c r="J26" i="5" s="1"/>
  <c r="J27" i="5" s="1"/>
  <c r="J28" i="5" s="1"/>
  <c r="K18" i="7"/>
  <c r="K23" i="4"/>
  <c r="K24" i="4" s="1"/>
  <c r="K6" i="6" l="1"/>
  <c r="K25" i="4"/>
  <c r="K23" i="7" s="1"/>
  <c r="C9" i="13"/>
  <c r="K24" i="7" l="1"/>
  <c r="K25" i="6" s="1"/>
  <c r="K26" i="6" s="1"/>
  <c r="K26" i="4"/>
  <c r="K32" i="6"/>
  <c r="K17" i="6"/>
  <c r="C12" i="13"/>
  <c r="K29" i="6" l="1"/>
  <c r="K31" i="6" s="1"/>
  <c r="K6" i="5" s="1"/>
  <c r="C11" i="13"/>
  <c r="K11" i="5"/>
  <c r="K14" i="5" s="1"/>
  <c r="K29" i="5"/>
  <c r="C18" i="13"/>
  <c r="K19" i="7"/>
  <c r="K33" i="1"/>
  <c r="K28" i="4"/>
  <c r="K25" i="7"/>
  <c r="K25" i="5" s="1"/>
  <c r="K21" i="7" l="1"/>
  <c r="K23" i="5" s="1"/>
  <c r="K24" i="5" s="1"/>
  <c r="K26" i="5" s="1"/>
  <c r="K27" i="5" s="1"/>
  <c r="K28" i="5" s="1"/>
  <c r="C10" i="13"/>
  <c r="C13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Kimi</author>
  </authors>
  <commentList>
    <comment ref="C8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DCF valuation point</t>
        </r>
      </text>
    </comment>
    <comment ref="C9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2026-10-26 close; cross-check only</t>
        </r>
      </text>
    </comment>
    <comment ref="C10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Actual common shares at 2026-10-15; latest cover-page count</t>
        </r>
      </text>
    </comment>
    <comment ref="C1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2026-09-30 bridge balance</t>
        </r>
      </text>
    </comment>
    <comment ref="C12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Current 1,387 + non-current 8,136</t>
        </r>
      </text>
    </comment>
    <comment ref="C13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Redeemable NCI 54 + NCI 546</t>
        </r>
      </text>
    </comment>
    <comment ref="C14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2026-10-23 daily par yield</t>
        </r>
      </text>
    </comment>
    <comment ref="C15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Yahoo Finance beta; no relevering adjustment</t>
        </r>
      </text>
    </comment>
    <comment ref="C16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Damodaran Oct-2026 implied ERP, secondary citation</t>
        </r>
      </text>
    </comment>
    <comment ref="C17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Rf + 1.0%; within disclosed facility spread context</t>
        </r>
      </text>
    </comment>
    <comment ref="C18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Normalized US federal statutory anchor</t>
        </r>
      </text>
    </comment>
    <comment ref="C19" authorId="0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Price × latest actual shares</t>
        </r>
      </text>
    </comment>
    <comment ref="C20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Rf + beta × ERP; no extra premium</t>
        </r>
      </text>
    </comment>
    <comment ref="C21" authorId="0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Market equity / (market equity + debt)</t>
        </r>
      </text>
    </comment>
    <comment ref="C22" authorId="0" shapeId="0" xr:uid="{00000000-0006-0000-0100-00000F000000}">
      <text>
        <r>
          <rPr>
            <sz val="11"/>
            <color theme="1"/>
            <rFont val="宋体"/>
            <family val="2"/>
            <scheme val="minor"/>
          </rPr>
          <t>Debt / (market equity + debt)</t>
        </r>
      </text>
    </comment>
    <comment ref="C23" authorId="0" shapeId="0" xr:uid="{00000000-0006-0000-0100-000010000000}">
      <text>
        <r>
          <rPr>
            <sz val="11"/>
            <color theme="1"/>
            <rFont val="宋体"/>
            <family val="2"/>
            <scheme val="minor"/>
          </rPr>
          <t>Market-value weights; after-tax debt</t>
        </r>
      </text>
    </comment>
    <comment ref="F29" authorId="0" shapeId="0" xr:uid="{00000000-0006-0000-0100-000011000000}">
      <text>
        <r>
          <rPr>
            <sz val="11"/>
            <color theme="1"/>
            <rFont val="宋体"/>
            <family val="2"/>
            <scheme val="minor"/>
          </rPr>
          <t>Q4 backlog and capacity utilization; later autonomy/new products and factory ramp</t>
        </r>
      </text>
    </comment>
    <comment ref="G30" authorId="0" shapeId="0" xr:uid="{00000000-0006-0000-0100-000012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H30" authorId="0" shapeId="0" xr:uid="{00000000-0006-0000-0100-000013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I30" authorId="0" shapeId="0" xr:uid="{00000000-0006-0000-0100-000014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J30" authorId="0" shapeId="0" xr:uid="{00000000-0006-0000-0100-000015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F31" authorId="0" shapeId="0" xr:uid="{00000000-0006-0000-0100-000016000000}">
      <text>
        <r>
          <rPr>
            <sz val="11"/>
            <color theme="1"/>
            <rFont val="宋体"/>
            <family val="2"/>
            <scheme val="minor"/>
          </rPr>
          <t>Q3 implied ~42.3k; includes credits/leasing and ancillary mix</t>
        </r>
      </text>
    </comment>
    <comment ref="G32" authorId="0" shapeId="0" xr:uid="{00000000-0006-0000-0100-000017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H32" authorId="0" shapeId="0" xr:uid="{00000000-0006-0000-0100-000018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I32" authorId="0" shapeId="0" xr:uid="{00000000-0006-0000-0100-000019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J32" authorId="0" shapeId="0" xr:uid="{00000000-0006-0000-0100-00001A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F33" authorId="0" shapeId="0" xr:uid="{00000000-0006-0000-0100-00001B000000}">
      <text>
        <r>
          <rPr>
            <sz val="11"/>
            <color theme="1"/>
            <rFont val="宋体"/>
            <family val="2"/>
            <scheme val="minor"/>
          </rPr>
          <t>9M actual 36.0; Megafactory Texas and backlog support Q4</t>
        </r>
      </text>
    </comment>
    <comment ref="G34" authorId="0" shapeId="0" xr:uid="{00000000-0006-0000-0100-00001C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H34" authorId="0" shapeId="0" xr:uid="{00000000-0006-0000-0100-00001D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I34" authorId="0" shapeId="0" xr:uid="{00000000-0006-0000-0100-00001E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J34" authorId="0" shapeId="0" xr:uid="{00000000-0006-0000-0100-00001F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F35" authorId="0" shapeId="0" xr:uid="{00000000-0006-0000-0100-000020000000}">
      <text>
        <r>
          <rPr>
            <sz val="11"/>
            <color theme="1"/>
            <rFont val="宋体"/>
            <family val="2"/>
            <scheme val="minor"/>
          </rPr>
          <t>Q3 tariff-refund distortions; Q4 below 2025 realized unit revenue</t>
        </r>
      </text>
    </comment>
    <comment ref="G36" authorId="0" shapeId="0" xr:uid="{00000000-0006-0000-0100-000021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H36" authorId="0" shapeId="0" xr:uid="{00000000-0006-0000-0100-000022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I36" authorId="0" shapeId="0" xr:uid="{00000000-0006-0000-0100-000023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J36" authorId="0" shapeId="0" xr:uid="{00000000-0006-0000-0100-000024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F37" authorId="0" shapeId="0" xr:uid="{00000000-0006-0000-0100-000025000000}">
      <text>
        <r>
          <rPr>
            <sz val="11"/>
            <color theme="1"/>
            <rFont val="宋体"/>
            <family val="2"/>
            <scheme val="minor"/>
          </rPr>
          <t>Q4 anchored near Q3 4,605 with fleet, charging and insurance growth</t>
        </r>
      </text>
    </comment>
    <comment ref="G38" authorId="0" shapeId="0" xr:uid="{00000000-0006-0000-0100-000026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H38" authorId="0" shapeId="0" xr:uid="{00000000-0006-0000-0100-000027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I38" authorId="0" shapeId="0" xr:uid="{00000000-0006-0000-0100-000028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J38" authorId="0" shapeId="0" xr:uid="{00000000-0006-0000-0100-000029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F39" authorId="0" shapeId="0" xr:uid="{00000000-0006-0000-0100-00002A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G39" authorId="0" shapeId="0" xr:uid="{00000000-0006-0000-0100-00002B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H39" authorId="0" shapeId="0" xr:uid="{00000000-0006-0000-0100-00002C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I39" authorId="0" shapeId="0" xr:uid="{00000000-0006-0000-0100-00002D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J39" authorId="0" shapeId="0" xr:uid="{00000000-0006-0000-0100-00002E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F40" authorId="0" shapeId="0" xr:uid="{00000000-0006-0000-0100-00002F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G40" authorId="0" shapeId="0" xr:uid="{00000000-0006-0000-0100-000030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H40" authorId="0" shapeId="0" xr:uid="{00000000-0006-0000-0100-000031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I40" authorId="0" shapeId="0" xr:uid="{00000000-0006-0000-0100-000032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J40" authorId="0" shapeId="0" xr:uid="{00000000-0006-0000-0100-000033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F41" authorId="0" shapeId="0" xr:uid="{00000000-0006-0000-0100-000034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G41" authorId="0" shapeId="0" xr:uid="{00000000-0006-0000-0100-000035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H41" authorId="0" shapeId="0" xr:uid="{00000000-0006-0000-0100-000036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I41" authorId="0" shapeId="0" xr:uid="{00000000-0006-0000-0100-000037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J41" authorId="0" shapeId="0" xr:uid="{00000000-0006-0000-0100-000038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F42" authorId="0" shapeId="0" xr:uid="{00000000-0006-0000-0100-000039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G42" authorId="0" shapeId="0" xr:uid="{00000000-0006-0000-0100-00003A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H42" authorId="0" shapeId="0" xr:uid="{00000000-0006-0000-0100-00003B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I42" authorId="0" shapeId="0" xr:uid="{00000000-0006-0000-0100-00003C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J42" authorId="0" shapeId="0" xr:uid="{00000000-0006-0000-0100-00003D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F43" authorId="0" shapeId="0" xr:uid="{00000000-0006-0000-0100-00003E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G43" authorId="0" shapeId="0" xr:uid="{00000000-0006-0000-0100-00003F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H43" authorId="0" shapeId="0" xr:uid="{00000000-0006-0000-0100-000040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I43" authorId="0" shapeId="0" xr:uid="{00000000-0006-0000-0100-000041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J43" authorId="0" shapeId="0" xr:uid="{00000000-0006-0000-0100-000042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F44" authorId="0" shapeId="0" xr:uid="{00000000-0006-0000-0100-000043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G44" authorId="0" shapeId="0" xr:uid="{00000000-0006-0000-0100-000044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H44" authorId="0" shapeId="0" xr:uid="{00000000-0006-0000-0100-000045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I44" authorId="0" shapeId="0" xr:uid="{00000000-0006-0000-0100-000046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J44" authorId="0" shapeId="0" xr:uid="{00000000-0006-0000-0100-000047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F45" authorId="0" shapeId="0" xr:uid="{00000000-0006-0000-0100-000048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G45" authorId="0" shapeId="0" xr:uid="{00000000-0006-0000-0100-000049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H45" authorId="0" shapeId="0" xr:uid="{00000000-0006-0000-0100-00004A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I45" authorId="0" shapeId="0" xr:uid="{00000000-0006-0000-0100-00004B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J45" authorId="0" shapeId="0" xr:uid="{00000000-0006-0000-0100-00004C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F46" authorId="0" shapeId="0" xr:uid="{00000000-0006-0000-0100-00004D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G46" authorId="0" shapeId="0" xr:uid="{00000000-0006-0000-0100-00004E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H46" authorId="0" shapeId="0" xr:uid="{00000000-0006-0000-0100-00004F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I46" authorId="0" shapeId="0" xr:uid="{00000000-0006-0000-0100-000050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J46" authorId="0" shapeId="0" xr:uid="{00000000-0006-0000-0100-000051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F47" authorId="0" shapeId="0" xr:uid="{00000000-0006-0000-0100-000052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G47" authorId="0" shapeId="0" xr:uid="{00000000-0006-0000-0100-000053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H47" authorId="0" shapeId="0" xr:uid="{00000000-0006-0000-0100-000054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I47" authorId="0" shapeId="0" xr:uid="{00000000-0006-0000-0100-000055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J47" authorId="0" shapeId="0" xr:uid="{00000000-0006-0000-0100-000056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F48" authorId="0" shapeId="0" xr:uid="{00000000-0006-0000-0100-000057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G48" authorId="0" shapeId="0" xr:uid="{00000000-0006-0000-0100-000058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H48" authorId="0" shapeId="0" xr:uid="{00000000-0006-0000-0100-000059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I48" authorId="0" shapeId="0" xr:uid="{00000000-0006-0000-0100-00005A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J48" authorId="0" shapeId="0" xr:uid="{00000000-0006-0000-0100-00005B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F49" authorId="0" shapeId="0" xr:uid="{00000000-0006-0000-0100-00005C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G49" authorId="0" shapeId="0" xr:uid="{00000000-0006-0000-0100-00005D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H49" authorId="0" shapeId="0" xr:uid="{00000000-0006-0000-0100-00005E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I49" authorId="0" shapeId="0" xr:uid="{00000000-0006-0000-0100-00005F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J49" authorId="0" shapeId="0" xr:uid="{00000000-0006-0000-0100-000060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F50" authorId="0" shapeId="0" xr:uid="{00000000-0006-0000-0100-000061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G50" authorId="0" shapeId="0" xr:uid="{00000000-0006-0000-0100-000062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H50" authorId="0" shapeId="0" xr:uid="{00000000-0006-0000-0100-000063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I50" authorId="0" shapeId="0" xr:uid="{00000000-0006-0000-0100-000064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J50" authorId="0" shapeId="0" xr:uid="{00000000-0006-0000-0100-000065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F51" authorId="0" shapeId="0" xr:uid="{00000000-0006-0000-0100-000066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G51" authorId="0" shapeId="0" xr:uid="{00000000-0006-0000-0100-000067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H51" authorId="0" shapeId="0" xr:uid="{00000000-0006-0000-0100-000068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I51" authorId="0" shapeId="0" xr:uid="{00000000-0006-0000-0100-000069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J51" authorId="0" shapeId="0" xr:uid="{00000000-0006-0000-0100-00006A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F52" authorId="0" shapeId="0" xr:uid="{00000000-0006-0000-0100-00006B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G52" authorId="0" shapeId="0" xr:uid="{00000000-0006-0000-0100-00006C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H52" authorId="0" shapeId="0" xr:uid="{00000000-0006-0000-0100-00006D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I52" authorId="0" shapeId="0" xr:uid="{00000000-0006-0000-0100-00006E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J52" authorId="0" shapeId="0" xr:uid="{00000000-0006-0000-0100-00006F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F53" authorId="0" shapeId="0" xr:uid="{00000000-0006-0000-0100-00007000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G53" authorId="0" shapeId="0" xr:uid="{00000000-0006-0000-0100-00007100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H53" authorId="0" shapeId="0" xr:uid="{00000000-0006-0000-0100-00007200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I53" authorId="0" shapeId="0" xr:uid="{00000000-0006-0000-0100-00007300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J53" authorId="0" shapeId="0" xr:uid="{00000000-0006-0000-0100-00007400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F54" authorId="0" shapeId="0" xr:uid="{00000000-0006-0000-0100-00007500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G54" authorId="0" shapeId="0" xr:uid="{00000000-0006-0000-0100-00007600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H54" authorId="0" shapeId="0" xr:uid="{00000000-0006-0000-0100-00007700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I54" authorId="0" shapeId="0" xr:uid="{00000000-0006-0000-0100-00007800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J54" authorId="0" shapeId="0" xr:uid="{00000000-0006-0000-0100-00007900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F55" authorId="0" shapeId="0" xr:uid="{00000000-0006-0000-0100-00007A00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G55" authorId="0" shapeId="0" xr:uid="{00000000-0006-0000-0100-00007B00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H55" authorId="0" shapeId="0" xr:uid="{00000000-0006-0000-0100-00007C00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I55" authorId="0" shapeId="0" xr:uid="{00000000-0006-0000-0100-00007D00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J55" authorId="0" shapeId="0" xr:uid="{00000000-0006-0000-0100-00007E00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F56" authorId="0" shapeId="0" xr:uid="{00000000-0006-0000-0100-00007F00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G56" authorId="0" shapeId="0" xr:uid="{00000000-0006-0000-0100-00008000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H56" authorId="0" shapeId="0" xr:uid="{00000000-0006-0000-0100-00008100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I56" authorId="0" shapeId="0" xr:uid="{00000000-0006-0000-0100-00008200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J56" authorId="0" shapeId="0" xr:uid="{00000000-0006-0000-0100-00008300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F57" authorId="0" shapeId="0" xr:uid="{00000000-0006-0000-0100-00008400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G57" authorId="0" shapeId="0" xr:uid="{00000000-0006-0000-0100-00008500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H57" authorId="0" shapeId="0" xr:uid="{00000000-0006-0000-0100-00008600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I57" authorId="0" shapeId="0" xr:uid="{00000000-0006-0000-0100-00008700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J57" authorId="0" shapeId="0" xr:uid="{00000000-0006-0000-0100-00008800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F58" authorId="0" shapeId="0" xr:uid="{00000000-0006-0000-0100-00008900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G58" authorId="0" shapeId="0" xr:uid="{00000000-0006-0000-0100-00008A00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H58" authorId="0" shapeId="0" xr:uid="{00000000-0006-0000-0100-00008B00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I58" authorId="0" shapeId="0" xr:uid="{00000000-0006-0000-0100-00008C00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J58" authorId="0" shapeId="0" xr:uid="{00000000-0006-0000-0100-00008D00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F59" authorId="0" shapeId="0" xr:uid="{00000000-0006-0000-0100-00008E00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G59" authorId="0" shapeId="0" xr:uid="{00000000-0006-0000-0100-00008F00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H59" authorId="0" shapeId="0" xr:uid="{00000000-0006-0000-0100-00009000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I59" authorId="0" shapeId="0" xr:uid="{00000000-0006-0000-0100-00009100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J59" authorId="0" shapeId="0" xr:uid="{00000000-0006-0000-0100-00009200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F60" authorId="0" shapeId="0" xr:uid="{00000000-0006-0000-0100-00009300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G60" authorId="0" shapeId="0" xr:uid="{00000000-0006-0000-0100-00009400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H60" authorId="0" shapeId="0" xr:uid="{00000000-0006-0000-0100-00009500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I60" authorId="0" shapeId="0" xr:uid="{00000000-0006-0000-0100-00009600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J60" authorId="0" shapeId="0" xr:uid="{00000000-0006-0000-0100-00009700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F61" authorId="0" shapeId="0" xr:uid="{00000000-0006-0000-0100-00009800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G61" authorId="0" shapeId="0" xr:uid="{00000000-0006-0000-0100-00009900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H61" authorId="0" shapeId="0" xr:uid="{00000000-0006-0000-0100-00009A00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I61" authorId="0" shapeId="0" xr:uid="{00000000-0006-0000-0100-00009B00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J61" authorId="0" shapeId="0" xr:uid="{00000000-0006-0000-0100-00009C00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F62" authorId="0" shapeId="0" xr:uid="{00000000-0006-0000-0100-00009D00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G62" authorId="0" shapeId="0" xr:uid="{00000000-0006-0000-0100-00009E00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H62" authorId="0" shapeId="0" xr:uid="{00000000-0006-0000-0100-00009F00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I62" authorId="0" shapeId="0" xr:uid="{00000000-0006-0000-0100-0000A000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J62" authorId="0" shapeId="0" xr:uid="{00000000-0006-0000-0100-0000A100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F68" authorId="0" shapeId="0" xr:uid="{00000000-0006-0000-0100-0000A2000000}">
      <text>
        <r>
          <rPr>
            <sz val="11"/>
            <color theme="1"/>
            <rFont val="宋体"/>
            <family val="2"/>
            <scheme val="minor"/>
          </rPr>
          <t>Q4 backlog and capacity utilization; later autonomy/new products and factory ramp</t>
        </r>
      </text>
    </comment>
    <comment ref="G69" authorId="0" shapeId="0" xr:uid="{00000000-0006-0000-0100-0000A3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H69" authorId="0" shapeId="0" xr:uid="{00000000-0006-0000-0100-0000A4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I69" authorId="0" shapeId="0" xr:uid="{00000000-0006-0000-0100-0000A5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J69" authorId="0" shapeId="0" xr:uid="{00000000-0006-0000-0100-0000A600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F70" authorId="0" shapeId="0" xr:uid="{00000000-0006-0000-0100-0000A7000000}">
      <text>
        <r>
          <rPr>
            <sz val="11"/>
            <color theme="1"/>
            <rFont val="宋体"/>
            <family val="2"/>
            <scheme val="minor"/>
          </rPr>
          <t>Q3 implied ~42.3k; includes credits/leasing and ancillary mix</t>
        </r>
      </text>
    </comment>
    <comment ref="G71" authorId="0" shapeId="0" xr:uid="{00000000-0006-0000-0100-0000A8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H71" authorId="0" shapeId="0" xr:uid="{00000000-0006-0000-0100-0000A9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I71" authorId="0" shapeId="0" xr:uid="{00000000-0006-0000-0100-0000AA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J71" authorId="0" shapeId="0" xr:uid="{00000000-0006-0000-0100-0000AB00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F72" authorId="0" shapeId="0" xr:uid="{00000000-0006-0000-0100-0000AC000000}">
      <text>
        <r>
          <rPr>
            <sz val="11"/>
            <color theme="1"/>
            <rFont val="宋体"/>
            <family val="2"/>
            <scheme val="minor"/>
          </rPr>
          <t>9M actual 36.0; Megafactory Texas and backlog support Q4</t>
        </r>
      </text>
    </comment>
    <comment ref="G73" authorId="0" shapeId="0" xr:uid="{00000000-0006-0000-0100-0000AD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H73" authorId="0" shapeId="0" xr:uid="{00000000-0006-0000-0100-0000AE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I73" authorId="0" shapeId="0" xr:uid="{00000000-0006-0000-0100-0000AF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J73" authorId="0" shapeId="0" xr:uid="{00000000-0006-0000-0100-0000B000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F74" authorId="0" shapeId="0" xr:uid="{00000000-0006-0000-0100-0000B1000000}">
      <text>
        <r>
          <rPr>
            <sz val="11"/>
            <color theme="1"/>
            <rFont val="宋体"/>
            <family val="2"/>
            <scheme val="minor"/>
          </rPr>
          <t>Q3 tariff-refund distortions; Q4 below 2025 realized unit revenue</t>
        </r>
      </text>
    </comment>
    <comment ref="G75" authorId="0" shapeId="0" xr:uid="{00000000-0006-0000-0100-0000B2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H75" authorId="0" shapeId="0" xr:uid="{00000000-0006-0000-0100-0000B3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I75" authorId="0" shapeId="0" xr:uid="{00000000-0006-0000-0100-0000B4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J75" authorId="0" shapeId="0" xr:uid="{00000000-0006-0000-0100-0000B500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F76" authorId="0" shapeId="0" xr:uid="{00000000-0006-0000-0100-0000B6000000}">
      <text>
        <r>
          <rPr>
            <sz val="11"/>
            <color theme="1"/>
            <rFont val="宋体"/>
            <family val="2"/>
            <scheme val="minor"/>
          </rPr>
          <t>Q4 anchored near Q3 4,605 with fleet, charging and insurance growth</t>
        </r>
      </text>
    </comment>
    <comment ref="G77" authorId="0" shapeId="0" xr:uid="{00000000-0006-0000-0100-0000B7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H77" authorId="0" shapeId="0" xr:uid="{00000000-0006-0000-0100-0000B8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I77" authorId="0" shapeId="0" xr:uid="{00000000-0006-0000-0100-0000B9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J77" authorId="0" shapeId="0" xr:uid="{00000000-0006-0000-0100-0000BA00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F78" authorId="0" shapeId="0" xr:uid="{00000000-0006-0000-0100-0000BB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G78" authorId="0" shapeId="0" xr:uid="{00000000-0006-0000-0100-0000BC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H78" authorId="0" shapeId="0" xr:uid="{00000000-0006-0000-0100-0000BD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I78" authorId="0" shapeId="0" xr:uid="{00000000-0006-0000-0100-0000BE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J78" authorId="0" shapeId="0" xr:uid="{00000000-0006-0000-0100-0000BF00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F79" authorId="0" shapeId="0" xr:uid="{00000000-0006-0000-0100-0000C0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G79" authorId="0" shapeId="0" xr:uid="{00000000-0006-0000-0100-0000C1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H79" authorId="0" shapeId="0" xr:uid="{00000000-0006-0000-0100-0000C2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I79" authorId="0" shapeId="0" xr:uid="{00000000-0006-0000-0100-0000C3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J79" authorId="0" shapeId="0" xr:uid="{00000000-0006-0000-0100-0000C400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F80" authorId="0" shapeId="0" xr:uid="{00000000-0006-0000-0100-0000C5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G80" authorId="0" shapeId="0" xr:uid="{00000000-0006-0000-0100-0000C6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H80" authorId="0" shapeId="0" xr:uid="{00000000-0006-0000-0100-0000C7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I80" authorId="0" shapeId="0" xr:uid="{00000000-0006-0000-0100-0000C8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J80" authorId="0" shapeId="0" xr:uid="{00000000-0006-0000-0100-0000C900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F81" authorId="0" shapeId="0" xr:uid="{00000000-0006-0000-0100-0000CA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G81" authorId="0" shapeId="0" xr:uid="{00000000-0006-0000-0100-0000CB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H81" authorId="0" shapeId="0" xr:uid="{00000000-0006-0000-0100-0000CC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I81" authorId="0" shapeId="0" xr:uid="{00000000-0006-0000-0100-0000CD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J81" authorId="0" shapeId="0" xr:uid="{00000000-0006-0000-0100-0000CE00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F82" authorId="0" shapeId="0" xr:uid="{00000000-0006-0000-0100-0000CF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G82" authorId="0" shapeId="0" xr:uid="{00000000-0006-0000-0100-0000D0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H82" authorId="0" shapeId="0" xr:uid="{00000000-0006-0000-0100-0000D1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I82" authorId="0" shapeId="0" xr:uid="{00000000-0006-0000-0100-0000D2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J82" authorId="0" shapeId="0" xr:uid="{00000000-0006-0000-0100-0000D300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F83" authorId="0" shapeId="0" xr:uid="{00000000-0006-0000-0100-0000D4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G83" authorId="0" shapeId="0" xr:uid="{00000000-0006-0000-0100-0000D5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H83" authorId="0" shapeId="0" xr:uid="{00000000-0006-0000-0100-0000D6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I83" authorId="0" shapeId="0" xr:uid="{00000000-0006-0000-0100-0000D7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J83" authorId="0" shapeId="0" xr:uid="{00000000-0006-0000-0100-0000D800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F84" authorId="0" shapeId="0" xr:uid="{00000000-0006-0000-0100-0000D9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G84" authorId="0" shapeId="0" xr:uid="{00000000-0006-0000-0100-0000DA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H84" authorId="0" shapeId="0" xr:uid="{00000000-0006-0000-0100-0000DB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I84" authorId="0" shapeId="0" xr:uid="{00000000-0006-0000-0100-0000DC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J84" authorId="0" shapeId="0" xr:uid="{00000000-0006-0000-0100-0000DD00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F85" authorId="0" shapeId="0" xr:uid="{00000000-0006-0000-0100-0000DE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G85" authorId="0" shapeId="0" xr:uid="{00000000-0006-0000-0100-0000DF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H85" authorId="0" shapeId="0" xr:uid="{00000000-0006-0000-0100-0000E0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I85" authorId="0" shapeId="0" xr:uid="{00000000-0006-0000-0100-0000E1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J85" authorId="0" shapeId="0" xr:uid="{00000000-0006-0000-0100-0000E200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F86" authorId="0" shapeId="0" xr:uid="{00000000-0006-0000-0100-0000E3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G86" authorId="0" shapeId="0" xr:uid="{00000000-0006-0000-0100-0000E4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H86" authorId="0" shapeId="0" xr:uid="{00000000-0006-0000-0100-0000E5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I86" authorId="0" shapeId="0" xr:uid="{00000000-0006-0000-0100-0000E6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J86" authorId="0" shapeId="0" xr:uid="{00000000-0006-0000-0100-0000E700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F87" authorId="0" shapeId="0" xr:uid="{00000000-0006-0000-0100-0000E8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G87" authorId="0" shapeId="0" xr:uid="{00000000-0006-0000-0100-0000E9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H87" authorId="0" shapeId="0" xr:uid="{00000000-0006-0000-0100-0000EA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I87" authorId="0" shapeId="0" xr:uid="{00000000-0006-0000-0100-0000EB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J87" authorId="0" shapeId="0" xr:uid="{00000000-0006-0000-0100-0000EC00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F88" authorId="0" shapeId="0" xr:uid="{00000000-0006-0000-0100-0000ED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G88" authorId="0" shapeId="0" xr:uid="{00000000-0006-0000-0100-0000EE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H88" authorId="0" shapeId="0" xr:uid="{00000000-0006-0000-0100-0000EF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I88" authorId="0" shapeId="0" xr:uid="{00000000-0006-0000-0100-0000F0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J88" authorId="0" shapeId="0" xr:uid="{00000000-0006-0000-0100-0000F1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F89" authorId="0" shapeId="0" xr:uid="{00000000-0006-0000-0100-0000F2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G89" authorId="0" shapeId="0" xr:uid="{00000000-0006-0000-0100-0000F3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H89" authorId="0" shapeId="0" xr:uid="{00000000-0006-0000-0100-0000F4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I89" authorId="0" shapeId="0" xr:uid="{00000000-0006-0000-0100-0000F5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J89" authorId="0" shapeId="0" xr:uid="{00000000-0006-0000-0100-0000F600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F90" authorId="0" shapeId="0" xr:uid="{00000000-0006-0000-0100-0000F7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G90" authorId="0" shapeId="0" xr:uid="{00000000-0006-0000-0100-0000F8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H90" authorId="0" shapeId="0" xr:uid="{00000000-0006-0000-0100-0000F9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I90" authorId="0" shapeId="0" xr:uid="{00000000-0006-0000-0100-0000FA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J90" authorId="0" shapeId="0" xr:uid="{00000000-0006-0000-0100-0000FB00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F91" authorId="0" shapeId="0" xr:uid="{00000000-0006-0000-0100-0000FC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G91" authorId="0" shapeId="0" xr:uid="{00000000-0006-0000-0100-0000FD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H91" authorId="0" shapeId="0" xr:uid="{00000000-0006-0000-0100-0000FE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I91" authorId="0" shapeId="0" xr:uid="{00000000-0006-0000-0100-0000FF00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J91" authorId="0" shapeId="0" xr:uid="{00000000-0006-0000-0100-00000001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F92" authorId="0" shapeId="0" xr:uid="{00000000-0006-0000-0100-000001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G92" authorId="0" shapeId="0" xr:uid="{00000000-0006-0000-0100-000002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H92" authorId="0" shapeId="0" xr:uid="{00000000-0006-0000-0100-000003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I92" authorId="0" shapeId="0" xr:uid="{00000000-0006-0000-0100-000004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J92" authorId="0" shapeId="0" xr:uid="{00000000-0006-0000-0100-000005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F93" authorId="0" shapeId="0" xr:uid="{00000000-0006-0000-0100-000006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G93" authorId="0" shapeId="0" xr:uid="{00000000-0006-0000-0100-000007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H93" authorId="0" shapeId="0" xr:uid="{00000000-0006-0000-0100-000008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I93" authorId="0" shapeId="0" xr:uid="{00000000-0006-0000-0100-000009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J93" authorId="0" shapeId="0" xr:uid="{00000000-0006-0000-0100-00000A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F94" authorId="0" shapeId="0" xr:uid="{00000000-0006-0000-0100-00000B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G94" authorId="0" shapeId="0" xr:uid="{00000000-0006-0000-0100-00000C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H94" authorId="0" shapeId="0" xr:uid="{00000000-0006-0000-0100-00000D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I94" authorId="0" shapeId="0" xr:uid="{00000000-0006-0000-0100-00000E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J94" authorId="0" shapeId="0" xr:uid="{00000000-0006-0000-0100-00000F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F95" authorId="0" shapeId="0" xr:uid="{00000000-0006-0000-0100-000010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G95" authorId="0" shapeId="0" xr:uid="{00000000-0006-0000-0100-000011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H95" authorId="0" shapeId="0" xr:uid="{00000000-0006-0000-0100-000012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I95" authorId="0" shapeId="0" xr:uid="{00000000-0006-0000-0100-000013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J95" authorId="0" shapeId="0" xr:uid="{00000000-0006-0000-0100-000014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F96" authorId="0" shapeId="0" xr:uid="{00000000-0006-0000-0100-000015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G96" authorId="0" shapeId="0" xr:uid="{00000000-0006-0000-0100-000016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H96" authorId="0" shapeId="0" xr:uid="{00000000-0006-0000-0100-000017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I96" authorId="0" shapeId="0" xr:uid="{00000000-0006-0000-0100-000018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J96" authorId="0" shapeId="0" xr:uid="{00000000-0006-0000-0100-000019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F97" authorId="0" shapeId="0" xr:uid="{00000000-0006-0000-0100-00001A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G97" authorId="0" shapeId="0" xr:uid="{00000000-0006-0000-0100-00001B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H97" authorId="0" shapeId="0" xr:uid="{00000000-0006-0000-0100-00001C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I97" authorId="0" shapeId="0" xr:uid="{00000000-0006-0000-0100-00001D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J97" authorId="0" shapeId="0" xr:uid="{00000000-0006-0000-0100-00001E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F98" authorId="0" shapeId="0" xr:uid="{00000000-0006-0000-0100-00001F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G98" authorId="0" shapeId="0" xr:uid="{00000000-0006-0000-0100-000020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H98" authorId="0" shapeId="0" xr:uid="{00000000-0006-0000-0100-000021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I98" authorId="0" shapeId="0" xr:uid="{00000000-0006-0000-0100-000022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J98" authorId="0" shapeId="0" xr:uid="{00000000-0006-0000-0100-000023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F99" authorId="0" shapeId="0" xr:uid="{00000000-0006-0000-0100-000024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G99" authorId="0" shapeId="0" xr:uid="{00000000-0006-0000-0100-000025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H99" authorId="0" shapeId="0" xr:uid="{00000000-0006-0000-0100-000026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I99" authorId="0" shapeId="0" xr:uid="{00000000-0006-0000-0100-000027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J99" authorId="0" shapeId="0" xr:uid="{00000000-0006-0000-0100-000028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F100" authorId="0" shapeId="0" xr:uid="{00000000-0006-0000-0100-000029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G100" authorId="0" shapeId="0" xr:uid="{00000000-0006-0000-0100-00002A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H100" authorId="0" shapeId="0" xr:uid="{00000000-0006-0000-0100-00002B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I100" authorId="0" shapeId="0" xr:uid="{00000000-0006-0000-0100-00002C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J100" authorId="0" shapeId="0" xr:uid="{00000000-0006-0000-0100-00002D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F101" authorId="0" shapeId="0" xr:uid="{00000000-0006-0000-0100-00002E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G101" authorId="0" shapeId="0" xr:uid="{00000000-0006-0000-0100-00002F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H101" authorId="0" shapeId="0" xr:uid="{00000000-0006-0000-0100-000030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I101" authorId="0" shapeId="0" xr:uid="{00000000-0006-0000-0100-000031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J101" authorId="0" shapeId="0" xr:uid="{00000000-0006-0000-0100-000032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F107" authorId="0" shapeId="0" xr:uid="{00000000-0006-0000-0100-000033010000}">
      <text>
        <r>
          <rPr>
            <sz val="11"/>
            <color theme="1"/>
            <rFont val="宋体"/>
            <family val="2"/>
            <scheme val="minor"/>
          </rPr>
          <t>Q4 backlog and capacity utilization; later autonomy/new products and factory ramp</t>
        </r>
      </text>
    </comment>
    <comment ref="G108" authorId="0" shapeId="0" xr:uid="{00000000-0006-0000-0100-00003401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H108" authorId="0" shapeId="0" xr:uid="{00000000-0006-0000-0100-00003501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I108" authorId="0" shapeId="0" xr:uid="{00000000-0006-0000-0100-00003601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J108" authorId="0" shapeId="0" xr:uid="{00000000-0006-0000-0100-000037010000}">
      <text>
        <r>
          <rPr>
            <sz val="11"/>
            <color theme="1"/>
            <rFont val="宋体"/>
            <family val="2"/>
            <scheme val="minor"/>
          </rPr>
          <t>Base scales below management's aspirational 5m capacity goal; Bull faster; Bear weak demand</t>
        </r>
      </text>
    </comment>
    <comment ref="F109" authorId="0" shapeId="0" xr:uid="{00000000-0006-0000-0100-000038010000}">
      <text>
        <r>
          <rPr>
            <sz val="11"/>
            <color theme="1"/>
            <rFont val="宋体"/>
            <family val="2"/>
            <scheme val="minor"/>
          </rPr>
          <t>Q3 implied ~42.3k; includes credits/leasing and ancillary mix</t>
        </r>
      </text>
    </comment>
    <comment ref="G110" authorId="0" shapeId="0" xr:uid="{00000000-0006-0000-0100-00003901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H110" authorId="0" shapeId="0" xr:uid="{00000000-0006-0000-0100-00003A01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I110" authorId="0" shapeId="0" xr:uid="{00000000-0006-0000-0100-00003B01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J110" authorId="0" shapeId="0" xr:uid="{00000000-0006-0000-0100-00003C010000}">
      <text>
        <r>
          <rPr>
            <sz val="11"/>
            <color theme="1"/>
            <rFont val="宋体"/>
            <family val="2"/>
            <scheme val="minor"/>
          </rPr>
          <t>Software/mix vs price competition</t>
        </r>
      </text>
    </comment>
    <comment ref="F111" authorId="0" shapeId="0" xr:uid="{00000000-0006-0000-0100-00003D010000}">
      <text>
        <r>
          <rPr>
            <sz val="11"/>
            <color theme="1"/>
            <rFont val="宋体"/>
            <family val="2"/>
            <scheme val="minor"/>
          </rPr>
          <t>9M actual 36.0; Megafactory Texas and backlog support Q4</t>
        </r>
      </text>
    </comment>
    <comment ref="G112" authorId="0" shapeId="0" xr:uid="{00000000-0006-0000-0100-00003E01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H112" authorId="0" shapeId="0" xr:uid="{00000000-0006-0000-0100-00003F01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I112" authorId="0" shapeId="0" xr:uid="{00000000-0006-0000-0100-00004001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J112" authorId="0" shapeId="0" xr:uid="{00000000-0006-0000-0100-000041010000}">
      <text>
        <r>
          <rPr>
            <sz val="11"/>
            <color theme="1"/>
            <rFont val="宋体"/>
            <family val="2"/>
            <scheme val="minor"/>
          </rPr>
          <t>Data-center/grid demand and new capacity; no assumed unlimited backlog conversion</t>
        </r>
      </text>
    </comment>
    <comment ref="F113" authorId="0" shapeId="0" xr:uid="{00000000-0006-0000-0100-000042010000}">
      <text>
        <r>
          <rPr>
            <sz val="11"/>
            <color theme="1"/>
            <rFont val="宋体"/>
            <family val="2"/>
            <scheme val="minor"/>
          </rPr>
          <t>Q3 tariff-refund distortions; Q4 below 2025 realized unit revenue</t>
        </r>
      </text>
    </comment>
    <comment ref="G114" authorId="0" shapeId="0" xr:uid="{00000000-0006-0000-0100-00004301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H114" authorId="0" shapeId="0" xr:uid="{00000000-0006-0000-0100-00004401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I114" authorId="0" shapeId="0" xr:uid="{00000000-0006-0000-0100-00004501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J114" authorId="0" shapeId="0" xr:uid="{00000000-0006-0000-0100-000046010000}">
      <text>
        <r>
          <rPr>
            <sz val="11"/>
            <color theme="1"/>
            <rFont val="宋体"/>
            <family val="2"/>
            <scheme val="minor"/>
          </rPr>
          <t>Price/mix and storage product competition</t>
        </r>
      </text>
    </comment>
    <comment ref="F115" authorId="0" shapeId="0" xr:uid="{00000000-0006-0000-0100-000047010000}">
      <text>
        <r>
          <rPr>
            <sz val="11"/>
            <color theme="1"/>
            <rFont val="宋体"/>
            <family val="2"/>
            <scheme val="minor"/>
          </rPr>
          <t>Q4 anchored near Q3 4,605 with fleet, charging and insurance growth</t>
        </r>
      </text>
    </comment>
    <comment ref="G116" authorId="0" shapeId="0" xr:uid="{00000000-0006-0000-0100-00004801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H116" authorId="0" shapeId="0" xr:uid="{00000000-0006-0000-0100-00004901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I116" authorId="0" shapeId="0" xr:uid="{00000000-0006-0000-0100-00004A01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J116" authorId="0" shapeId="0" xr:uid="{00000000-0006-0000-0100-00004B010000}">
      <text>
        <r>
          <rPr>
            <sz val="11"/>
            <color theme="1"/>
            <rFont val="宋体"/>
            <family val="2"/>
            <scheme val="minor"/>
          </rPr>
          <t>Installed fleet, FSD/subscriptions, Supercharging; Robotaxi not separately valued</t>
        </r>
      </text>
    </comment>
    <comment ref="F117" authorId="0" shapeId="0" xr:uid="{00000000-0006-0000-0100-00004C01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G117" authorId="0" shapeId="0" xr:uid="{00000000-0006-0000-0100-00004D01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H117" authorId="0" shapeId="0" xr:uid="{00000000-0006-0000-0100-00004E01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I117" authorId="0" shapeId="0" xr:uid="{00000000-0006-0000-0100-00004F01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J117" authorId="0" shapeId="0" xr:uid="{00000000-0006-0000-0100-000050010000}">
      <text>
        <r>
          <rPr>
            <sz val="11"/>
            <color theme="1"/>
            <rFont val="宋体"/>
            <family val="2"/>
            <scheme val="minor"/>
          </rPr>
          <t>9M cost/mix base; credits included; scale and software vs pricing</t>
        </r>
      </text>
    </comment>
    <comment ref="F118" authorId="0" shapeId="0" xr:uid="{00000000-0006-0000-0100-00005101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G118" authorId="0" shapeId="0" xr:uid="{00000000-0006-0000-0100-00005201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H118" authorId="0" shapeId="0" xr:uid="{00000000-0006-0000-0100-00005301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I118" authorId="0" shapeId="0" xr:uid="{00000000-0006-0000-0100-00005401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J118" authorId="0" shapeId="0" xr:uid="{00000000-0006-0000-0100-000055010000}">
      <text>
        <r>
          <rPr>
            <sz val="11"/>
            <color theme="1"/>
            <rFont val="宋体"/>
            <family val="2"/>
            <scheme val="minor"/>
          </rPr>
          <t>Q3 33.1% included tariff benefits; normalized forward margins</t>
        </r>
      </text>
    </comment>
    <comment ref="F119" authorId="0" shapeId="0" xr:uid="{00000000-0006-0000-0100-00005601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G119" authorId="0" shapeId="0" xr:uid="{00000000-0006-0000-0100-00005701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H119" authorId="0" shapeId="0" xr:uid="{00000000-0006-0000-0100-00005801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I119" authorId="0" shapeId="0" xr:uid="{00000000-0006-0000-0100-00005901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J119" authorId="0" shapeId="0" xr:uid="{00000000-0006-0000-0100-00005A010000}">
      <text>
        <r>
          <rPr>
            <sz val="11"/>
            <color theme="1"/>
            <rFont val="宋体"/>
            <family val="2"/>
            <scheme val="minor"/>
          </rPr>
          <t>Q3 record 15.9%; gradual operating leverage</t>
        </r>
      </text>
    </comment>
    <comment ref="F120" authorId="0" shapeId="0" xr:uid="{00000000-0006-0000-0100-00005B01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G120" authorId="0" shapeId="0" xr:uid="{00000000-0006-0000-0100-00005C01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H120" authorId="0" shapeId="0" xr:uid="{00000000-0006-0000-0100-00005D01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I120" authorId="0" shapeId="0" xr:uid="{00000000-0006-0000-0100-00005E01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J120" authorId="0" shapeId="0" xr:uid="{00000000-0006-0000-0100-00005F010000}">
      <text>
        <r>
          <rPr>
            <sz val="11"/>
            <color theme="1"/>
            <rFont val="宋体"/>
            <family val="2"/>
            <scheme val="minor"/>
          </rPr>
          <t>Elevated SI, chip, Optimus and new-product spend; gradual commercialization leverage; Bear includes cost control</t>
        </r>
      </text>
    </comment>
    <comment ref="F121" authorId="0" shapeId="0" xr:uid="{00000000-0006-0000-0100-00006001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G121" authorId="0" shapeId="0" xr:uid="{00000000-0006-0000-0100-00006101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H121" authorId="0" shapeId="0" xr:uid="{00000000-0006-0000-0100-00006201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I121" authorId="0" shapeId="0" xr:uid="{00000000-0006-0000-0100-00006301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J121" authorId="0" shapeId="0" xr:uid="{00000000-0006-0000-0100-000064010000}">
      <text>
        <r>
          <rPr>
            <sz val="11"/>
            <color theme="1"/>
            <rFont val="宋体"/>
            <family val="2"/>
            <scheme val="minor"/>
          </rPr>
          <t>CEO award and expansion costs; scale leverage differs by scenario; Bear includes cost control</t>
        </r>
      </text>
    </comment>
    <comment ref="F122" authorId="0" shapeId="0" xr:uid="{00000000-0006-0000-0100-00006501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G122" authorId="0" shapeId="0" xr:uid="{00000000-0006-0000-0100-00006601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H122" authorId="0" shapeId="0" xr:uid="{00000000-0006-0000-0100-00006701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I122" authorId="0" shapeId="0" xr:uid="{00000000-0006-0000-0100-00006801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J122" authorId="0" shapeId="0" xr:uid="{00000000-0006-0000-0100-000069010000}">
      <text>
        <r>
          <rPr>
            <sz val="11"/>
            <color theme="1"/>
            <rFont val="宋体"/>
            <family val="2"/>
            <scheme val="minor"/>
          </rPr>
          <t>Q4 quarterly rate; annual thereafter; anchored to recent D&amp;A and asset base</t>
        </r>
      </text>
    </comment>
    <comment ref="F123" authorId="0" shapeId="0" xr:uid="{00000000-0006-0000-0100-00006A01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G123" authorId="0" shapeId="0" xr:uid="{00000000-0006-0000-0100-00006B01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H123" authorId="0" shapeId="0" xr:uid="{00000000-0006-0000-0100-00006C01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I123" authorId="0" shapeId="0" xr:uid="{00000000-0006-0000-0100-00006D01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J123" authorId="0" shapeId="0" xr:uid="{00000000-0006-0000-0100-00006E010000}">
      <text>
        <r>
          <rPr>
            <sz val="11"/>
            <color theme="1"/>
            <rFont val="宋体"/>
            <family val="2"/>
            <scheme val="minor"/>
          </rPr>
          <t>9M 13,014; official &gt;20bn FY2026 implies &gt;6,986 Q4; SI/fab/robotics drive later spend; Bear slows expansion</t>
        </r>
      </text>
    </comment>
    <comment ref="F124" authorId="0" shapeId="0" xr:uid="{00000000-0006-0000-0100-00006F01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G124" authorId="0" shapeId="0" xr:uid="{00000000-0006-0000-0100-00007001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H124" authorId="0" shapeId="0" xr:uid="{00000000-0006-0000-0100-00007101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I124" authorId="0" shapeId="0" xr:uid="{00000000-0006-0000-0100-00007201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J124" authorId="0" shapeId="0" xr:uid="{00000000-0006-0000-0100-000073010000}">
      <text>
        <r>
          <rPr>
            <sz val="11"/>
            <color theme="1"/>
            <rFont val="宋体"/>
            <family val="2"/>
            <scheme val="minor"/>
          </rPr>
          <t>Q3 annualized ~15 days</t>
        </r>
      </text>
    </comment>
    <comment ref="F125" authorId="0" shapeId="0" xr:uid="{00000000-0006-0000-0100-00007401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G125" authorId="0" shapeId="0" xr:uid="{00000000-0006-0000-0100-00007501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H125" authorId="0" shapeId="0" xr:uid="{00000000-0006-0000-0100-00007601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I125" authorId="0" shapeId="0" xr:uid="{00000000-0006-0000-0100-00007701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J125" authorId="0" shapeId="0" xr:uid="{00000000-0006-0000-0100-000078010000}">
      <text>
        <r>
          <rPr>
            <sz val="11"/>
            <color theme="1"/>
            <rFont val="宋体"/>
            <family val="2"/>
            <scheme val="minor"/>
          </rPr>
          <t>Q3 annualized ~57 days; inventory management differs by scenario</t>
        </r>
      </text>
    </comment>
    <comment ref="F126" authorId="0" shapeId="0" xr:uid="{00000000-0006-0000-0100-00007901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G126" authorId="0" shapeId="0" xr:uid="{00000000-0006-0000-0100-00007A01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H126" authorId="0" shapeId="0" xr:uid="{00000000-0006-0000-0100-00007B01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I126" authorId="0" shapeId="0" xr:uid="{00000000-0006-0000-0100-00007C01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J126" authorId="0" shapeId="0" xr:uid="{00000000-0006-0000-0100-00007D010000}">
      <text>
        <r>
          <rPr>
            <sz val="11"/>
            <color theme="1"/>
            <rFont val="宋体"/>
            <family val="2"/>
            <scheme val="minor"/>
          </rPr>
          <t>Q3 annualized ~70 days; no indefinite extension assumed</t>
        </r>
      </text>
    </comment>
    <comment ref="F127" authorId="0" shapeId="0" xr:uid="{00000000-0006-0000-0100-00007E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G127" authorId="0" shapeId="0" xr:uid="{00000000-0006-0000-0100-00007F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H127" authorId="0" shapeId="0" xr:uid="{00000000-0006-0000-0100-000080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I127" authorId="0" shapeId="0" xr:uid="{00000000-0006-0000-0100-000081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J127" authorId="0" shapeId="0" xr:uid="{00000000-0006-0000-0100-000082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F128" authorId="0" shapeId="0" xr:uid="{00000000-0006-0000-0100-000083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G128" authorId="0" shapeId="0" xr:uid="{00000000-0006-0000-0100-000084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H128" authorId="0" shapeId="0" xr:uid="{00000000-0006-0000-0100-000085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I128" authorId="0" shapeId="0" xr:uid="{00000000-0006-0000-0100-000086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J128" authorId="0" shapeId="0" xr:uid="{00000000-0006-0000-0100-000087010000}">
      <text>
        <r>
          <rPr>
            <sz val="11"/>
            <color theme="1"/>
            <rFont val="宋体"/>
            <family val="2"/>
            <scheme val="minor"/>
          </rPr>
          <t>Near Q3 run-rate</t>
        </r>
      </text>
    </comment>
    <comment ref="F129" authorId="0" shapeId="0" xr:uid="{00000000-0006-0000-0100-00008801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G129" authorId="0" shapeId="0" xr:uid="{00000000-0006-0000-0100-00008901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H129" authorId="0" shapeId="0" xr:uid="{00000000-0006-0000-0100-00008A01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I129" authorId="0" shapeId="0" xr:uid="{00000000-0006-0000-0100-00008B01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J129" authorId="0" shapeId="0" xr:uid="{00000000-0006-0000-0100-00008C010000}">
      <text>
        <r>
          <rPr>
            <sz val="11"/>
            <color theme="1"/>
            <rFont val="宋体"/>
            <family val="2"/>
            <scheme val="minor"/>
          </rPr>
          <t>Q3 current + non-current; software/fleet obligations</t>
        </r>
      </text>
    </comment>
    <comment ref="F130" authorId="0" shapeId="0" xr:uid="{00000000-0006-0000-0100-00008D01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G130" authorId="0" shapeId="0" xr:uid="{00000000-0006-0000-0100-00008E01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H130" authorId="0" shapeId="0" xr:uid="{00000000-0006-0000-0100-00008F01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I130" authorId="0" shapeId="0" xr:uid="{00000000-0006-0000-0100-00009001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J130" authorId="0" shapeId="0" xr:uid="{00000000-0006-0000-0100-000091010000}">
      <text>
        <r>
          <rPr>
            <sz val="11"/>
            <color theme="1"/>
            <rFont val="宋体"/>
            <family val="2"/>
            <scheme val="minor"/>
          </rPr>
          <t>Near Q3 run-rate; treated as operating</t>
        </r>
      </text>
    </comment>
    <comment ref="F131" authorId="0" shapeId="0" xr:uid="{00000000-0006-0000-0100-000092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G131" authorId="0" shapeId="0" xr:uid="{00000000-0006-0000-0100-000093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H131" authorId="0" shapeId="0" xr:uid="{00000000-0006-0000-0100-000094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I131" authorId="0" shapeId="0" xr:uid="{00000000-0006-0000-0100-000095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J131" authorId="0" shapeId="0" xr:uid="{00000000-0006-0000-0100-000096010000}">
      <text>
        <r>
          <rPr>
            <sz val="11"/>
            <color theme="1"/>
            <rFont val="宋体"/>
            <family val="2"/>
            <scheme val="minor"/>
          </rPr>
          <t>Q3 ~4.2%; CEO award expense continues; treated as economic cost in DCF</t>
        </r>
      </text>
    </comment>
    <comment ref="F132" authorId="0" shapeId="0" xr:uid="{00000000-0006-0000-0100-000097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G132" authorId="0" shapeId="0" xr:uid="{00000000-0006-0000-0100-000098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H132" authorId="0" shapeId="0" xr:uid="{00000000-0006-0000-0100-000099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I132" authorId="0" shapeId="0" xr:uid="{00000000-0006-0000-0100-00009A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J132" authorId="0" shapeId="0" xr:uid="{00000000-0006-0000-0100-00009B010000}">
      <text>
        <r>
          <rPr>
            <sz val="11"/>
            <color theme="1"/>
            <rFont val="宋体"/>
            <family val="2"/>
            <scheme val="minor"/>
          </rPr>
          <t>9M effective rate distorted by valuation allowance; normalized forward rate</t>
        </r>
      </text>
    </comment>
    <comment ref="F133" authorId="0" shapeId="0" xr:uid="{00000000-0006-0000-0100-00009C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G133" authorId="0" shapeId="0" xr:uid="{00000000-0006-0000-0100-00009D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H133" authorId="0" shapeId="0" xr:uid="{00000000-0006-0000-0100-00009E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I133" authorId="0" shapeId="0" xr:uid="{00000000-0006-0000-0100-00009F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J133" authorId="0" shapeId="0" xr:uid="{00000000-0006-0000-0100-0000A0010000}">
      <text>
        <r>
          <rPr>
            <sz val="11"/>
            <color theme="1"/>
            <rFont val="宋体"/>
            <family val="2"/>
            <scheme val="minor"/>
          </rPr>
          <t>Q4 uses quarter rate; annual thereafter; near money-market yield</t>
        </r>
      </text>
    </comment>
    <comment ref="F134" authorId="0" shapeId="0" xr:uid="{00000000-0006-0000-0100-0000A1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G134" authorId="0" shapeId="0" xr:uid="{00000000-0006-0000-0100-0000A2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H134" authorId="0" shapeId="0" xr:uid="{00000000-0006-0000-0100-0000A3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I134" authorId="0" shapeId="0" xr:uid="{00000000-0006-0000-0100-0000A4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J134" authorId="0" shapeId="0" xr:uid="{00000000-0006-0000-0100-0000A5010000}">
      <text>
        <r>
          <rPr>
            <sz val="11"/>
            <color theme="1"/>
            <rFont val="宋体"/>
            <family val="2"/>
            <scheme val="minor"/>
          </rPr>
          <t>Q4 quarterly rate; annual thereafter; near recent effective rate</t>
        </r>
      </text>
    </comment>
    <comment ref="F135" authorId="0" shapeId="0" xr:uid="{00000000-0006-0000-0100-0000A6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G135" authorId="0" shapeId="0" xr:uid="{00000000-0006-0000-0100-0000A7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H135" authorId="0" shapeId="0" xr:uid="{00000000-0006-0000-0100-0000A8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I135" authorId="0" shapeId="0" xr:uid="{00000000-0006-0000-0100-0000A9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J135" authorId="0" shapeId="0" xr:uid="{00000000-0006-0000-0100-0000AA010000}">
      <text>
        <r>
          <rPr>
            <sz val="11"/>
            <color theme="1"/>
            <rFont val="宋体"/>
            <family val="2"/>
            <scheme val="minor"/>
          </rPr>
          <t>No forecast crypto/SpaceX mark-to-market or one-offs</t>
        </r>
      </text>
    </comment>
    <comment ref="F136" authorId="0" shapeId="0" xr:uid="{00000000-0006-0000-0100-0000AB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G136" authorId="0" shapeId="0" xr:uid="{00000000-0006-0000-0100-0000AC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H136" authorId="0" shapeId="0" xr:uid="{00000000-0006-0000-0100-0000AD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I136" authorId="0" shapeId="0" xr:uid="{00000000-0006-0000-0100-0000AE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J136" authorId="0" shapeId="0" xr:uid="{00000000-0006-0000-0100-0000AF010000}">
      <text>
        <r>
          <rPr>
            <sz val="11"/>
            <color theme="1"/>
            <rFont val="宋体"/>
            <family val="2"/>
            <scheme val="minor"/>
          </rPr>
          <t>Small historical NCI; distributions equal NCI income in forecast</t>
        </r>
      </text>
    </comment>
    <comment ref="F137" authorId="0" shapeId="0" xr:uid="{00000000-0006-0000-0100-0000B0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G137" authorId="0" shapeId="0" xr:uid="{00000000-0006-0000-0100-0000B1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H137" authorId="0" shapeId="0" xr:uid="{00000000-0006-0000-0100-0000B2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I137" authorId="0" shapeId="0" xr:uid="{00000000-0006-0000-0100-0000B3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J137" authorId="0" shapeId="0" xr:uid="{00000000-0006-0000-0100-0000B4010000}">
      <text>
        <r>
          <rPr>
            <sz val="11"/>
            <color theme="1"/>
            <rFont val="宋体"/>
            <family val="2"/>
            <scheme val="minor"/>
          </rPr>
          <t>Base uses suggested WACC; Bull/Bear reflect execution/risk regime</t>
        </r>
      </text>
    </comment>
    <comment ref="F138" authorId="0" shapeId="0" xr:uid="{00000000-0006-0000-0100-0000B5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G138" authorId="0" shapeId="0" xr:uid="{00000000-0006-0000-0100-0000B6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H138" authorId="0" shapeId="0" xr:uid="{00000000-0006-0000-0100-0000B7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I138" authorId="0" shapeId="0" xr:uid="{00000000-0006-0000-0100-0000B8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J138" authorId="0" shapeId="0" xr:uid="{00000000-0006-0000-0100-0000B9010000}">
      <text>
        <r>
          <rPr>
            <sz val="11"/>
            <color theme="1"/>
            <rFont val="宋体"/>
            <family val="2"/>
            <scheme val="minor"/>
          </rPr>
          <t>Long-run nominal growth; below WACC; no hypergrowth perpetuity</t>
        </r>
      </text>
    </comment>
    <comment ref="F139" authorId="0" shapeId="0" xr:uid="{00000000-0006-0000-0100-0000BA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G139" authorId="0" shapeId="0" xr:uid="{00000000-0006-0000-0100-0000BB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H139" authorId="0" shapeId="0" xr:uid="{00000000-0006-0000-0100-0000BC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I139" authorId="0" shapeId="0" xr:uid="{00000000-0006-0000-0100-0000BD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J139" authorId="0" shapeId="0" xr:uid="{00000000-0006-0000-0100-0000BE010000}">
      <text>
        <r>
          <rPr>
            <sz val="11"/>
            <color theme="1"/>
            <rFont val="宋体"/>
            <family val="2"/>
            <scheme val="minor"/>
          </rPr>
          <t>Sustainable reinvestment, replacing explicit growth capex in terminal year</t>
        </r>
      </text>
    </comment>
    <comment ref="F140" authorId="0" shapeId="0" xr:uid="{00000000-0006-0000-0100-0000BF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G140" authorId="0" shapeId="0" xr:uid="{00000000-0006-0000-0100-0000C0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H140" authorId="0" shapeId="0" xr:uid="{00000000-0006-0000-0100-0000C1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I140" authorId="0" shapeId="0" xr:uid="{00000000-0006-0000-0100-0000C2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  <comment ref="J140" authorId="0" shapeId="0" xr:uid="{00000000-0006-0000-0100-0000C3010000}">
      <text>
        <r>
          <rPr>
            <sz val="11"/>
            <color theme="1"/>
            <rFont val="宋体"/>
            <family val="2"/>
            <scheme val="minor"/>
          </rPr>
          <t>Cross-check only; not primary terminal method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Kimi</author>
  </authors>
  <commentList>
    <comment ref="F52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Q4 flow annualized for year-end working capital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Kimi</author>
  </authors>
  <commentList>
    <comment ref="C43" authorId="0" shapeId="0" xr:uid="{00000000-0006-0000-0800-000001000000}">
      <text>
        <r>
          <rPr>
            <sz val="11"/>
            <color theme="1"/>
            <rFont val="宋体"/>
            <family val="2"/>
            <scheme val="minor"/>
          </rPr>
          <t>Second line is a dilution stress, not an assertion that all milestones are earned</t>
        </r>
      </text>
    </comment>
    <comment ref="C44" authorId="0" shapeId="0" xr:uid="{00000000-0006-0000-0800-000002000000}">
      <text>
        <r>
          <rPr>
            <sz val="11"/>
            <color theme="1"/>
            <rFont val="宋体"/>
            <family val="2"/>
            <scheme val="minor"/>
          </rPr>
          <t>Second line is a dilution stress, not an assertion that all milestones are earned</t>
        </r>
      </text>
    </comment>
  </commentList>
</comments>
</file>

<file path=xl/sharedStrings.xml><?xml version="1.0" encoding="utf-8"?>
<sst xmlns="http://schemas.openxmlformats.org/spreadsheetml/2006/main" count="1370" uniqueCount="514">
  <si>
    <t>特斯拉 2026—2030 财务预测与 DCF 估值</t>
  </si>
  <si>
    <t>Tesla, Inc. (NASDAQ: TSLA) | USD mn except per-share; editable scenario in Assumptions!C4 | Valuation date: 2026-10-26</t>
  </si>
  <si>
    <t>Active scenario</t>
  </si>
  <si>
    <t>Valuation summary</t>
  </si>
  <si>
    <t>Enterprise value</t>
  </si>
  <si>
    <t>Equity value</t>
  </si>
  <si>
    <t>Implied value / share</t>
  </si>
  <si>
    <t>Market price (2026-10-26 close)</t>
  </si>
  <si>
    <t>Implied upside / (downside)</t>
  </si>
  <si>
    <t>Chosen WACC</t>
  </si>
  <si>
    <t>Terminal growth</t>
  </si>
  <si>
    <t>PV terminal / EV</t>
  </si>
  <si>
    <t>Scenario comparison — live independent calculations</t>
  </si>
  <si>
    <t>Metric</t>
  </si>
  <si>
    <t>Bear</t>
  </si>
  <si>
    <t>Base</t>
  </si>
  <si>
    <t>Bull</t>
  </si>
  <si>
    <t>WACC</t>
  </si>
  <si>
    <t>Financial trajectory — active scenario</t>
  </si>
  <si>
    <t>2024A</t>
  </si>
  <si>
    <t>2025A</t>
  </si>
  <si>
    <t>9M2026A</t>
  </si>
  <si>
    <t>Q4 2026E</t>
  </si>
  <si>
    <t>2026E</t>
  </si>
  <si>
    <t>2027E</t>
  </si>
  <si>
    <t>2028E</t>
  </si>
  <si>
    <t>2029E</t>
  </si>
  <si>
    <t>2030E</t>
  </si>
  <si>
    <t>Revenue</t>
  </si>
  <si>
    <t>Gross margin</t>
  </si>
  <si>
    <t>Operating income</t>
  </si>
  <si>
    <t>Operating margin</t>
  </si>
  <si>
    <t>Net income to common</t>
  </si>
  <si>
    <t>How to use / key conventions</t>
  </si>
  <si>
    <t>1. Change Assumptions!C4 to Base / Bull / Bear. Edit amber cells for operating and valuation assumptions.</t>
  </si>
  <si>
    <t>2. 2026E = 9M2026A + Q4 2026E. DCF counts Q4 2026E only, then FY2027–FY2030.</t>
  </si>
  <si>
    <t>3. Historical data are SEC/Tesla IR actuals; forecasts are analyst assumptions, not company guidance except noted capex anchor.</t>
  </si>
  <si>
    <t>4. DCF uses year-end discounting, normalized terminal reinvestment, and no SBC add-back.</t>
  </si>
  <si>
    <t>5. Equity bridge: EV + cash/ST investments − debt/finance leases − minority interests. Bridge date 2026-09-30.</t>
  </si>
  <si>
    <t>6. Per-share uses 3,952.758mn actual shares at 2026-10-15. Full CEO award dilution stress is in Sensitivity.</t>
  </si>
  <si>
    <t>7. Robotaxi, Optimus and SpaceX upside are embedded only through scenario drivers; no separate option valuation.</t>
  </si>
  <si>
    <t>8. See Checks for integrity; Sources and Raw Data for lineage; Sensitivity for WACC/g/reinvestment/margin/revenue/dilution.</t>
  </si>
  <si>
    <t>经营与估值假设 / Scenario inputs</t>
  </si>
  <si>
    <t>Tesla, Inc. (NASDAQ: TSLA) | Blue/amber cells are editable inputs | Valuation date: 2026-10-26</t>
  </si>
  <si>
    <t>Switch in C4; all active statements, DCF and sensitivities update. Scenario DCF computes all three independently.</t>
  </si>
  <si>
    <t>Valuation inputs</t>
  </si>
  <si>
    <t>Valuation date</t>
  </si>
  <si>
    <t>User instruction</t>
  </si>
  <si>
    <t>DCF valuation point</t>
  </si>
  <si>
    <t>Share price (USD)</t>
  </si>
  <si>
    <t>S8</t>
  </si>
  <si>
    <t>2026-10-26 close; cross-check only</t>
  </si>
  <si>
    <t>Shares outstanding (mn)</t>
  </si>
  <si>
    <t>S4</t>
  </si>
  <si>
    <t>Actual common shares at 2026-10-15; latest cover-page count</t>
  </si>
  <si>
    <t>Cash + short-term investments</t>
  </si>
  <si>
    <t>2026-09-30 bridge balance</t>
  </si>
  <si>
    <t>Debt + finance leases</t>
  </si>
  <si>
    <t>Current 1,387 + non-current 8,136</t>
  </si>
  <si>
    <t>Minority interests</t>
  </si>
  <si>
    <t>Redeemable NCI 54 + NCI 546</t>
  </si>
  <si>
    <t>10-year UST risk-free rate</t>
  </si>
  <si>
    <t>S7</t>
  </si>
  <si>
    <t>2026-10-23 daily par yield</t>
  </si>
  <si>
    <t>Levered beta</t>
  </si>
  <si>
    <t>S9</t>
  </si>
  <si>
    <t>Yahoo Finance beta; no relevering adjustment</t>
  </si>
  <si>
    <t>US equity risk premium</t>
  </si>
  <si>
    <t>S10</t>
  </si>
  <si>
    <t>Damodaran Oct-2026 implied ERP, secondary citation</t>
  </si>
  <si>
    <t>Pre-tax cost of debt</t>
  </si>
  <si>
    <t>S4 + analyst assumption</t>
  </si>
  <si>
    <t>Rf + 1.0%; within disclosed facility spread context</t>
  </si>
  <si>
    <t>WACC tax rate</t>
  </si>
  <si>
    <t>Analyst assumption</t>
  </si>
  <si>
    <t>Normalized US federal statutory anchor</t>
  </si>
  <si>
    <t>Market capitalization</t>
  </si>
  <si>
    <t>Calculated</t>
  </si>
  <si>
    <t>Price × latest actual shares</t>
  </si>
  <si>
    <t>Cost of equity</t>
  </si>
  <si>
    <t>CAPM</t>
  </si>
  <si>
    <t>Rf + beta × ERP; no extra premium</t>
  </si>
  <si>
    <t>Equity weight</t>
  </si>
  <si>
    <t>Market equity / (market equity + debt)</t>
  </si>
  <si>
    <t>Debt weight</t>
  </si>
  <si>
    <t>Debt / (market equity + debt)</t>
  </si>
  <si>
    <t>Suggested WACC</t>
  </si>
  <si>
    <t>Market-value weights; after-tax debt</t>
  </si>
  <si>
    <t>Base scenario — Q4 2026E and FY2027E–FY2030E</t>
  </si>
  <si>
    <t>Driver</t>
  </si>
  <si>
    <t>Unit</t>
  </si>
  <si>
    <t>Source</t>
  </si>
  <si>
    <t>Rationale</t>
  </si>
  <si>
    <t>Vehicle deliveries</t>
  </si>
  <si>
    <t>units</t>
  </si>
  <si>
    <t>Analyst assumption; see S4/S5/S11</t>
  </si>
  <si>
    <t>Q4 backlog and capacity utilization; later autonomy/new products and factory ramp</t>
  </si>
  <si>
    <t>—</t>
  </si>
  <si>
    <t>Delivery growth</t>
  </si>
  <si>
    <t>%</t>
  </si>
  <si>
    <t>Base scales below management's aspirational 5m capacity goal; Bull faster; Bear weak demand</t>
  </si>
  <si>
    <t>Automotive revenue / delivery</t>
  </si>
  <si>
    <t>USD/unit</t>
  </si>
  <si>
    <t>Q3 implied ~42.3k; includes credits/leasing and ancillary mix</t>
  </si>
  <si>
    <t>Auto revenue / delivery change</t>
  </si>
  <si>
    <t>Software/mix vs price competition</t>
  </si>
  <si>
    <t>Storage deployments</t>
  </si>
  <si>
    <t>GWh</t>
  </si>
  <si>
    <t>9M actual 36.0; Megafactory Texas and backlog support Q4</t>
  </si>
  <si>
    <t>Storage deployment growth</t>
  </si>
  <si>
    <t>Data-center/grid demand and new capacity; no assumed unlimited backlog conversion</t>
  </si>
  <si>
    <t>Energy revenue / GWh</t>
  </si>
  <si>
    <t>USD mn/GWh</t>
  </si>
  <si>
    <t>Q3 tariff-refund distortions; Q4 below 2025 realized unit revenue</t>
  </si>
  <si>
    <t>Energy unit revenue change</t>
  </si>
  <si>
    <t>Price/mix and storage product competition</t>
  </si>
  <si>
    <t>Services &amp; other revenue</t>
  </si>
  <si>
    <t>USD mn</t>
  </si>
  <si>
    <t>Q4 anchored near Q3 4,605 with fleet, charging and insurance growth</t>
  </si>
  <si>
    <t>Services revenue growth</t>
  </si>
  <si>
    <t>Installed fleet, FSD/subscriptions, Supercharging; Robotaxi not separately valued</t>
  </si>
  <si>
    <t>Automotive gross margin</t>
  </si>
  <si>
    <t>9M cost/mix base; credits included; scale and software vs pricing</t>
  </si>
  <si>
    <t>Energy gross margin</t>
  </si>
  <si>
    <t>Q3 33.1% included tariff benefits; normalized forward margins</t>
  </si>
  <si>
    <t>Services gross margin</t>
  </si>
  <si>
    <t>Q3 record 15.9%; gradual operating leverage</t>
  </si>
  <si>
    <t>R&amp;D / revenue</t>
  </si>
  <si>
    <t>Elevated SI, chip, Optimus and new-product spend; gradual commercialization leverage; Bear includes cost control</t>
  </si>
  <si>
    <t>SG&amp;A / revenue</t>
  </si>
  <si>
    <t>CEO award and expansion costs; scale leverage differs by scenario; Bear includes cost control</t>
  </si>
  <si>
    <t>D&amp;A / opening fixed assets</t>
  </si>
  <si>
    <t>Q4 quarterly rate; annual thereafter; anchored to recent D&amp;A and asset base</t>
  </si>
  <si>
    <t>Capital expenditures</t>
  </si>
  <si>
    <t>9M 13,014; official &gt;20bn FY2026 implies &gt;6,986 Q4; SI/fab/robotics drive later spend; Bear slows expansion</t>
  </si>
  <si>
    <t>DSO</t>
  </si>
  <si>
    <t>days</t>
  </si>
  <si>
    <t>Q3 annualized ~15 days</t>
  </si>
  <si>
    <t>DIO</t>
  </si>
  <si>
    <t>Q3 annualized ~57 days; inventory management differs by scenario</t>
  </si>
  <si>
    <t>DPO</t>
  </si>
  <si>
    <t>Q3 annualized ~70 days; no indefinite extension assumed</t>
  </si>
  <si>
    <t>Prepaid / annualized revenue</t>
  </si>
  <si>
    <t>Near Q3 run-rate</t>
  </si>
  <si>
    <t>Accrued liabilities / annualized revenue</t>
  </si>
  <si>
    <t>Deferred revenue / annualized revenue</t>
  </si>
  <si>
    <t>Q3 current + non-current; software/fleet obligations</t>
  </si>
  <si>
    <t>Other LT liabilities / annualized revenue</t>
  </si>
  <si>
    <t>Near Q3 run-rate; treated as operating</t>
  </si>
  <si>
    <t>SBC / revenue</t>
  </si>
  <si>
    <t>Q3 ~4.2%; CEO award expense continues; treated as economic cost in DCF</t>
  </si>
  <si>
    <t>Normalized cash / book tax rate</t>
  </si>
  <si>
    <t>9M effective rate distorted by valuation allowance; normalized forward rate</t>
  </si>
  <si>
    <t>Interest income / opening cash &amp; investments</t>
  </si>
  <si>
    <t>Q4 uses quarter rate; annual thereafter; near money-market yield</t>
  </si>
  <si>
    <t>Interest expense / opening debt</t>
  </si>
  <si>
    <t>Q4 quarterly rate; annual thereafter; near recent effective rate</t>
  </si>
  <si>
    <t>Other non-operating income</t>
  </si>
  <si>
    <t>No forecast crypto/SpaceX mark-to-market or one-offs</t>
  </si>
  <si>
    <t>NCI share of consolidated net income</t>
  </si>
  <si>
    <t>Small historical NCI; distributions equal NCI income in forecast</t>
  </si>
  <si>
    <t>WACC scenario adjustment</t>
  </si>
  <si>
    <t>Base uses suggested WACC; Bull/Bear reflect execution/risk regime</t>
  </si>
  <si>
    <t>Long-run nominal growth; below WACC; no hypergrowth perpetuity</t>
  </si>
  <si>
    <t>Terminal reinvestment / NOPAT</t>
  </si>
  <si>
    <t>Sustainable reinvestment, replacing explicit growth capex in terminal year</t>
  </si>
  <si>
    <t>Terminal EV / EBITDA</t>
  </si>
  <si>
    <t>x</t>
  </si>
  <si>
    <t>Cross-check only; not primary terminal method</t>
  </si>
  <si>
    <t>Bull scenario — Q4 2026E and FY2027E–FY2030E</t>
  </si>
  <si>
    <t>Bear scenario — Q4 2026E and FY2027E–FY2030E</t>
  </si>
  <si>
    <t>经营驱动 / Active scenario</t>
  </si>
  <si>
    <t>Tesla, Inc. (NASDAQ: TSLA) | USD mn; selected scenario flows from Assumptions | Valuation date: 2026-10-26</t>
  </si>
  <si>
    <t>Fiscal period</t>
  </si>
  <si>
    <t>Revenue build</t>
  </si>
  <si>
    <t>Automotive revenue</t>
  </si>
  <si>
    <t>Storage deployments (GWh)</t>
  </si>
  <si>
    <t>Energy revenue</t>
  </si>
  <si>
    <t>Services growth</t>
  </si>
  <si>
    <t>Total revenue</t>
  </si>
  <si>
    <t>Margins, costs and investment</t>
  </si>
  <si>
    <t>Normalized tax rate</t>
  </si>
  <si>
    <t>Cash &amp; investment yield</t>
  </si>
  <si>
    <t>Debt interest rate</t>
  </si>
  <si>
    <t>NCI share of net income</t>
  </si>
  <si>
    <t>Working capital</t>
  </si>
  <si>
    <t>Prepaid / revenue</t>
  </si>
  <si>
    <t>Accrued / revenue</t>
  </si>
  <si>
    <t>Deferred revenue / revenue</t>
  </si>
  <si>
    <t>Other LT liabilities / revenue</t>
  </si>
  <si>
    <t>Terminal / valuation</t>
  </si>
  <si>
    <t>WACC adjustment</t>
  </si>
  <si>
    <t>Annualization factor for balance-sheet drivers</t>
  </si>
  <si>
    <t>Revenue / COGS annualization factor</t>
  </si>
  <si>
    <t>利润表 / Income Statement</t>
  </si>
  <si>
    <t>Tesla, Inc. (NASDAQ: TSLA) | USD mn except per-share data | Valuation date: 2026-10-26</t>
  </si>
  <si>
    <t>Energy generation &amp; storage revenue</t>
  </si>
  <si>
    <t>Automotive cost of revenue</t>
  </si>
  <si>
    <t>Energy cost of revenue</t>
  </si>
  <si>
    <t>Services &amp; other cost of revenue</t>
  </si>
  <si>
    <t>Total cost of revenue</t>
  </si>
  <si>
    <t>Gross profit</t>
  </si>
  <si>
    <t>Research &amp; development</t>
  </si>
  <si>
    <t>Selling, general &amp; administrative</t>
  </si>
  <si>
    <t>Restructuring &amp; other</t>
  </si>
  <si>
    <t>Interest income</t>
  </si>
  <si>
    <t>Interest expense</t>
  </si>
  <si>
    <t>Other income (expense), net</t>
  </si>
  <si>
    <t>Pre-tax income</t>
  </si>
  <si>
    <t>Income tax</t>
  </si>
  <si>
    <t>Net income</t>
  </si>
  <si>
    <t>Net income attributable to NCI</t>
  </si>
  <si>
    <t>Net income attributable to common</t>
  </si>
  <si>
    <t>Diluted weighted average shares</t>
  </si>
  <si>
    <t>Diluted EPS</t>
  </si>
  <si>
    <t>Revenue growth</t>
  </si>
  <si>
    <t>资产负债表 / Balance Sheet</t>
  </si>
  <si>
    <t>Tesla, Inc. (NASDAQ: TSLA) | USD mn; Q4 2026E = FY2026E ending balance | Valuation date: 2026-10-26</t>
  </si>
  <si>
    <t>Cash &amp; cash equivalents</t>
  </si>
  <si>
    <t>Short-term investments</t>
  </si>
  <si>
    <t>Accounts receivable</t>
  </si>
  <si>
    <t>Inventory</t>
  </si>
  <si>
    <t>Prepaid &amp; other current assets</t>
  </si>
  <si>
    <t>Total current assets</t>
  </si>
  <si>
    <t>Fixed &amp; leased operating assets, net</t>
  </si>
  <si>
    <t>Other assets</t>
  </si>
  <si>
    <t>Total assets</t>
  </si>
  <si>
    <t>Accounts payable</t>
  </si>
  <si>
    <t>Accrued liabilities &amp; other</t>
  </si>
  <si>
    <t>Deferred revenue</t>
  </si>
  <si>
    <t>Debt &amp; finance leases</t>
  </si>
  <si>
    <t>Other long-term liabilities</t>
  </si>
  <si>
    <t>Total liabilities</t>
  </si>
  <si>
    <t>Redeemable NCI</t>
  </si>
  <si>
    <t>Paid-in capital &amp; other equity</t>
  </si>
  <si>
    <t>Retained earnings</t>
  </si>
  <si>
    <t>Total stockholders' equity</t>
  </si>
  <si>
    <t>Noncontrolling interests</t>
  </si>
  <si>
    <t>Total equity incl. NCI</t>
  </si>
  <si>
    <t>Total liabilities &amp; equity</t>
  </si>
  <si>
    <t>Balance check</t>
  </si>
  <si>
    <t>Cash tie check</t>
  </si>
  <si>
    <t>现金流量表 / Cash Flow Statement</t>
  </si>
  <si>
    <t>Tesla, Inc. (NASDAQ: TSLA) | USD mn; indirect method | Valuation date: 2026-10-26</t>
  </si>
  <si>
    <t>D&amp;A and impairment</t>
  </si>
  <si>
    <t>Stock-based compensation</t>
  </si>
  <si>
    <t>Other non-cash &amp; operating items</t>
  </si>
  <si>
    <t>Change in accounts receivable</t>
  </si>
  <si>
    <t>Change in inventory</t>
  </si>
  <si>
    <t>Change in operating lease vehicles</t>
  </si>
  <si>
    <t>Change in prepaid &amp; other assets</t>
  </si>
  <si>
    <t>Change in AP, accrued &amp; other liabilities</t>
  </si>
  <si>
    <t>Change in deferred revenue</t>
  </si>
  <si>
    <t>Change in other LT liabilities</t>
  </si>
  <si>
    <t>Operating cash flow</t>
  </si>
  <si>
    <t>Net short-term investment purchases</t>
  </si>
  <si>
    <t>Other investing</t>
  </si>
  <si>
    <t>Investing cash flow</t>
  </si>
  <si>
    <t>Debt issued</t>
  </si>
  <si>
    <t>Debt repaid</t>
  </si>
  <si>
    <t>Equity issuance</t>
  </si>
  <si>
    <t>NCI distributions</t>
  </si>
  <si>
    <t>Financing cash flow</t>
  </si>
  <si>
    <t>FX effect</t>
  </si>
  <si>
    <t>Restricted cash / presentation adjustment</t>
  </si>
  <si>
    <t>Net change in cash</t>
  </si>
  <si>
    <t>Beginning cash &amp; equivalents</t>
  </si>
  <si>
    <t>Ending cash &amp; equivalents</t>
  </si>
  <si>
    <t>Net income link check</t>
  </si>
  <si>
    <t>支持表 / Supporting schedules</t>
  </si>
  <si>
    <t>Tesla, Inc. (NASDAQ: TSLA) | USD mn; roll-forwards | Valuation date: 2026-10-26</t>
  </si>
  <si>
    <t>Opening fixed &amp; leased operating assets</t>
  </si>
  <si>
    <t>Ending fixed &amp; leased operating assets</t>
  </si>
  <si>
    <t>Opening debt &amp; finance leases</t>
  </si>
  <si>
    <t>Ending debt &amp; finance leases</t>
  </si>
  <si>
    <t>Opening paid-in capital &amp; other equity</t>
  </si>
  <si>
    <t>Ending paid-in capital &amp; other equity</t>
  </si>
  <si>
    <t>Opening retained earnings</t>
  </si>
  <si>
    <t>Dividends</t>
  </si>
  <si>
    <t>Ending retained earnings</t>
  </si>
  <si>
    <t>Opening NCI</t>
  </si>
  <si>
    <t>NCI income</t>
  </si>
  <si>
    <t>Ending NCI</t>
  </si>
  <si>
    <t>DCF 估值 / Unlevered free cash flow</t>
  </si>
  <si>
    <t>Tesla, Inc. (NASDAQ: TSLA) | USD mn except per-share; year-end discounting | Valuation date: 2026-10-26</t>
  </si>
  <si>
    <t>UFCF build</t>
  </si>
  <si>
    <t>EBIT</t>
  </si>
  <si>
    <t>NOPAT</t>
  </si>
  <si>
    <t>D&amp;A</t>
  </si>
  <si>
    <t>Operating NWC</t>
  </si>
  <si>
    <t>Change in operating NWC</t>
  </si>
  <si>
    <t>SBC add-back (deliberately zero)</t>
  </si>
  <si>
    <t>Unlevered free cash flow</t>
  </si>
  <si>
    <t>Discount period (years)</t>
  </si>
  <si>
    <t>Discount factor</t>
  </si>
  <si>
    <t>PV of UFCF</t>
  </si>
  <si>
    <t>WACC and terminal assumptions</t>
  </si>
  <si>
    <t>Discounting: 2026-10-26 to 2026-12-31 = 66/365 years; year-end convention.</t>
  </si>
  <si>
    <t>DCF includes Q4 2026E only, then FY2027-30; FY2026 full year is not double counted.</t>
  </si>
  <si>
    <t>UFCF = EBIT×(1−tax)+D&amp;A−capex−ΔNWC. SBC is not added back.</t>
  </si>
  <si>
    <t>Terminal FCF normalizes NOPAT growth and reinvestment; explicit growth capex is not extrapolated forever.</t>
  </si>
  <si>
    <t>Terminal FCF</t>
  </si>
  <si>
    <t>Bridge at 2026-09-30. SpaceX/digital assets are not separately added; other assets remain in model.</t>
  </si>
  <si>
    <t>Terminal value</t>
  </si>
  <si>
    <t>Shares: actual outstanding at 2026-10-15, not Q3 weighted diluted average. CEO unearned award excluded.</t>
  </si>
  <si>
    <t>PV explicit UFCF</t>
  </si>
  <si>
    <t>PV terminal value</t>
  </si>
  <si>
    <t>Cash + ST investments</t>
  </si>
  <si>
    <t>Market price</t>
  </si>
  <si>
    <t>Terminal value % of EV</t>
  </si>
  <si>
    <t>Exit-multiple value / share</t>
  </si>
  <si>
    <t>估值敏感性 / Live formula tables</t>
  </si>
  <si>
    <t>Tesla, Inc. (NASDAQ: TSLA) | Implied USD/share; active scenario operating forecast | Valuation date: 2026-10-26</t>
  </si>
  <si>
    <t>Tables use live UFCF, NOPAT, net cash and shares. No pasted sensitivity outputs.</t>
  </si>
  <si>
    <t>1) WACC × terminal growth</t>
  </si>
  <si>
    <t>2) WACC × terminal reinvestment rate</t>
  </si>
  <si>
    <t>3) FY2030 revenue level × operating margin delta</t>
  </si>
  <si>
    <t>Only 2030 and terminal NOPAT are flexed; earlier years, D&amp;A, capex and NWC remain unchanged.</t>
  </si>
  <si>
    <t>4) Share-count dilution cross-check</t>
  </si>
  <si>
    <t>Current actual shares (mn)</t>
  </si>
  <si>
    <t>Incl. full 2025 CEO award shares (mn)</t>
  </si>
  <si>
    <t>独立情景估值 / Live scenario engine</t>
  </si>
  <si>
    <t>Tesla, Inc. (NASDAQ: TSLA) | USD mn except per-share; independent of active switch | Valuation date: 2026-10-26</t>
  </si>
  <si>
    <t>Base scenario</t>
  </si>
  <si>
    <t>Line item</t>
  </si>
  <si>
    <t>Deliveries</t>
  </si>
  <si>
    <t>Auto Rev Unit</t>
  </si>
  <si>
    <t>Auto Rev</t>
  </si>
  <si>
    <t>Energy Gwh</t>
  </si>
  <si>
    <t>Energy Rev Gwh</t>
  </si>
  <si>
    <t>Energy Rev</t>
  </si>
  <si>
    <t>Services Rev</t>
  </si>
  <si>
    <t>Total Rev</t>
  </si>
  <si>
    <t>Gross Profit</t>
  </si>
  <si>
    <t>Ebit</t>
  </si>
  <si>
    <t>Nopat</t>
  </si>
  <si>
    <t>Fixed Open</t>
  </si>
  <si>
    <t>Da Rate</t>
  </si>
  <si>
    <t>Da</t>
  </si>
  <si>
    <t>Capex</t>
  </si>
  <si>
    <t>Fixed End</t>
  </si>
  <si>
    <t>Nwc</t>
  </si>
  <si>
    <t>Delta Nwc</t>
  </si>
  <si>
    <t>Ufcf</t>
  </si>
  <si>
    <t>Period</t>
  </si>
  <si>
    <t>Discount Factor</t>
  </si>
  <si>
    <t>Pv Ufcf</t>
  </si>
  <si>
    <t>Terminal reinvestment</t>
  </si>
  <si>
    <t>Exit multiple</t>
  </si>
  <si>
    <t>Bull scenario</t>
  </si>
  <si>
    <t>Bear scenario</t>
  </si>
  <si>
    <t>实际数据底表 / Reported actuals</t>
  </si>
  <si>
    <t>Tesla, Inc. (NASDAQ: TSLA) | USD mn; shares mn; deliveries units; storage GWh | Valuation date: 2026-10-26</t>
  </si>
  <si>
    <t>Source ID</t>
  </si>
  <si>
    <t>Definition / note</t>
  </si>
  <si>
    <t>S1 / S4</t>
  </si>
  <si>
    <t>Total automotive incl. credits/leasing</t>
  </si>
  <si>
    <t>Reported revenue line</t>
  </si>
  <si>
    <t>GAAP</t>
  </si>
  <si>
    <t>Reported cost line</t>
  </si>
  <si>
    <t>SG&amp;A</t>
  </si>
  <si>
    <t>Negative = expense</t>
  </si>
  <si>
    <t>Millions; EPS denominator, not valuation share count</t>
  </si>
  <si>
    <t>USD/share</t>
  </si>
  <si>
    <t>Balance sheet</t>
  </si>
  <si>
    <t>Operating lease vehicles, net</t>
  </si>
  <si>
    <t>Energy systems, net</t>
  </si>
  <si>
    <t>PP&amp;E, net</t>
  </si>
  <si>
    <t>Operating lease ROU assets</t>
  </si>
  <si>
    <t>Digital assets</t>
  </si>
  <si>
    <t>Deferred tax assets</t>
  </si>
  <si>
    <t>Other non-current assets</t>
  </si>
  <si>
    <t>Deferred revenue - current</t>
  </si>
  <si>
    <t>Debt &amp; finance leases - current</t>
  </si>
  <si>
    <t>Debt &amp; finance leases - non-current</t>
  </si>
  <si>
    <t>Deferred revenue - non-current</t>
  </si>
  <si>
    <t>CF: Net income</t>
  </si>
  <si>
    <t>Cash flow</t>
  </si>
  <si>
    <t>CF: D&amp;A and impairment</t>
  </si>
  <si>
    <t>CF: Stock-based compensation</t>
  </si>
  <si>
    <t>CF: Change in AR</t>
  </si>
  <si>
    <t>As reported sign</t>
  </si>
  <si>
    <t>CF: Change in inventory</t>
  </si>
  <si>
    <t>CF: Operating lease vehicles</t>
  </si>
  <si>
    <t>CF: Prepaid &amp; other assets</t>
  </si>
  <si>
    <t>CF: AP, accrued &amp; other liabilities</t>
  </si>
  <si>
    <t>CF: Deferred revenue</t>
  </si>
  <si>
    <t>CF: Operating cash flow</t>
  </si>
  <si>
    <t>CF: Capital expenditures</t>
  </si>
  <si>
    <t>Negative = cash outflow</t>
  </si>
  <si>
    <t>CF: Investing cash flow</t>
  </si>
  <si>
    <t>CF: Debt proceeds</t>
  </si>
  <si>
    <t>CF: Debt repayments</t>
  </si>
  <si>
    <t>CF: Equity issuance</t>
  </si>
  <si>
    <t>CF: NCI distributions</t>
  </si>
  <si>
    <t>CF: Financing cash flow</t>
  </si>
  <si>
    <t>CF: FX effect</t>
  </si>
  <si>
    <t>Cash and restricted cash presentation</t>
  </si>
  <si>
    <t>S5 / S6</t>
  </si>
  <si>
    <t>Units; 9M2026 from Q3 update</t>
  </si>
  <si>
    <t>Storage deployed</t>
  </si>
  <si>
    <t>GWh; 9M2026 from Q3 update</t>
  </si>
  <si>
    <t>Derived: fixed &amp; leased operating assets</t>
  </si>
  <si>
    <t>Lease vehicles + energy systems + PP&amp;E</t>
  </si>
  <si>
    <t>Derived: other assets</t>
  </si>
  <si>
    <t>ROU + digital + DTA + other NCA</t>
  </si>
  <si>
    <t>Derived: total deferred revenue</t>
  </si>
  <si>
    <t>Current + non-current</t>
  </si>
  <si>
    <t>Derived: total debt &amp; finance leases</t>
  </si>
  <si>
    <t>Derived: paid-in capital &amp; other equity</t>
  </si>
  <si>
    <t>Parent equity - retained earnings</t>
  </si>
  <si>
    <t>Derived: operating net working capital</t>
  </si>
  <si>
    <t>AR+inventory+prepaid-AP-accrued-deferred-other LTL</t>
  </si>
  <si>
    <t>数据来源与口径 / Sources &amp; conventions</t>
  </si>
  <si>
    <t>Tesla, Inc. (NASDAQ: TSLA) | Source register | Valuation date: 2026-10-26</t>
  </si>
  <si>
    <t>Source name</t>
  </si>
  <si>
    <t>Publisher</t>
  </si>
  <si>
    <t>Date / period</t>
  </si>
  <si>
    <t>Accession / locator</t>
  </si>
  <si>
    <t>URL</t>
  </si>
  <si>
    <t>Local evidence</t>
  </si>
  <si>
    <t>Use / caveat</t>
  </si>
  <si>
    <t>S1</t>
  </si>
  <si>
    <t>Tesla FY2025 Form 10-K</t>
  </si>
  <si>
    <t>SEC EDGAR</t>
  </si>
  <si>
    <t>Filed 2026-01-29; FY2025</t>
  </si>
  <si>
    <t>0001628280-26-003952</t>
  </si>
  <si>
    <t>https://www.sec.gov/Archives/edgar/data/1318605/000162828026003952/tsla-20251231.htm</t>
  </si>
  <si>
    <t>evidence/tsla_fy2025_10k.htm</t>
  </si>
  <si>
    <t>GAAP three statements; 2024/2025 comparatives</t>
  </si>
  <si>
    <t>S2</t>
  </si>
  <si>
    <t>Tesla Q1 2026 Form 10-Q</t>
  </si>
  <si>
    <t>Filed 2026-04-23</t>
  </si>
  <si>
    <t>0001628280-26-026673</t>
  </si>
  <si>
    <t>https://www.sec.gov/Archives/edgar/data/1318605/000162828026026673/tsla-20260331.htm</t>
  </si>
  <si>
    <t>data/sec_q1fy2026_all.csv</t>
  </si>
  <si>
    <t>Quarter cross-check</t>
  </si>
  <si>
    <t>S3</t>
  </si>
  <si>
    <t>Tesla Q2 2026 Form 10-Q</t>
  </si>
  <si>
    <t>Filed 2026-07-23</t>
  </si>
  <si>
    <t>0001628280-26-049270</t>
  </si>
  <si>
    <t>https://www.sec.gov/Archives/edgar/data/1318605/000162828026049270/tsla-20260630.htm</t>
  </si>
  <si>
    <t>data/sec_q2fy2026_all.csv</t>
  </si>
  <si>
    <t>Tesla Q3 2026 Form 10-Q</t>
  </si>
  <si>
    <t>Filed 2026-10-22; period 2026-09-30</t>
  </si>
  <si>
    <t>0001628280-26-066775</t>
  </si>
  <si>
    <t>https://www.sec.gov/Archives/edgar/data/1318605/000162828026066775/tsla-20260930.htm</t>
  </si>
  <si>
    <t>evidence/tsla_q3_2026_10q.htm</t>
  </si>
  <si>
    <t>Latest reported GAAP, cash/debt, shares, capex outlook</t>
  </si>
  <si>
    <t>S5</t>
  </si>
  <si>
    <t>Tesla Q3 2026 Update</t>
  </si>
  <si>
    <t>Tesla IR</t>
  </si>
  <si>
    <t>2026-10-21</t>
  </si>
  <si>
    <t>Exhibit 99.1; accession 0001628280-26-066738</t>
  </si>
  <si>
    <t>https://assets-ir.tesla.com/tesla-contents/IR/TSLA-Q3-2026-Update.pdf</t>
  </si>
  <si>
    <t>evidence/TSLA-Q3-2026-Update.pdf</t>
  </si>
  <si>
    <t>Quarterly KPI, GAAP/non-GAAP reconciliation</t>
  </si>
  <si>
    <t>S6</t>
  </si>
  <si>
    <t>Tesla Q4 &amp; FY2025 Update</t>
  </si>
  <si>
    <t>2026-01-28</t>
  </si>
  <si>
    <t>FY2025 operational summary</t>
  </si>
  <si>
    <t>https://assets-ir.tesla.com/tesla-contents/IR/TSLA-Q4-2025-Update.pdf</t>
  </si>
  <si>
    <t>evidence/TSLA-Q4-2025-Update.pdf</t>
  </si>
  <si>
    <t>Annual deliveries and storage deployments</t>
  </si>
  <si>
    <t>Daily Treasury Par Yield Curve Rates</t>
  </si>
  <si>
    <t>U.S. Treasury</t>
  </si>
  <si>
    <t>2026-10-23</t>
  </si>
  <si>
    <t>10-year = 5.00%</t>
  </si>
  <si>
    <t>https://home.treasury.gov/resource-center/data-chart-center/interest-rates/TextView?type=daily_treasury_yield_curve&amp;field_tdr_date_value=2026</t>
  </si>
  <si>
    <t>evidence/us_treasury_2026_yields.csv</t>
  </si>
  <si>
    <t>Latest completed daily observation before valuation date</t>
  </si>
  <si>
    <t>TSLA historical prices</t>
  </si>
  <si>
    <t>Yahoo Finance</t>
  </si>
  <si>
    <t>2026-10-26 close</t>
  </si>
  <si>
    <t>Close = 394.62 USD</t>
  </si>
  <si>
    <t>https://finance.yahoo.com/quote/TSLA/history/</t>
  </si>
  <si>
    <t>data/yahoo_tsla_prices.csv</t>
  </si>
  <si>
    <t>Third-party market data; market cross-check only</t>
  </si>
  <si>
    <t>TSLA stock information</t>
  </si>
  <si>
    <t>Retrieved 2026-10-26</t>
  </si>
  <si>
    <t>Beta = 1.916</t>
  </si>
  <si>
    <t>https://finance.yahoo.com/quote/TSLA/</t>
  </si>
  <si>
    <t>data/yahoo_tsla_info.csv</t>
  </si>
  <si>
    <t>Third-party beta; WACC input</t>
  </si>
  <si>
    <t>Damodaran implied ERP summary (Oct-2026)</t>
  </si>
  <si>
    <t>Kourosh Review / Damodaran Online</t>
  </si>
  <si>
    <t>2026-10-01</t>
  </si>
  <si>
    <t>Implied US ERP = 4.20%</t>
  </si>
  <si>
    <t>https://kouroshreview.com/articles/what-moves-the-stock-market</t>
  </si>
  <si>
    <t>Registered URL only</t>
  </si>
  <si>
    <t>Secondary citation of Damodaran; research assumption, not company data</t>
  </si>
  <si>
    <t>S11</t>
  </si>
  <si>
    <t>Q3 2026 earnings call transcript</t>
  </si>
  <si>
    <t>The Motley Fool</t>
  </si>
  <si>
    <t>2026-10-22</t>
  </si>
  <si>
    <t>Approx. $20bn 2026 capex; future spending</t>
  </si>
  <si>
    <t>https://www.fool.com/earnings/call-transcripts/2026/10/22/tesla-tsla-q3-2026-earnings-call-transcript/</t>
  </si>
  <si>
    <t>Management commentary; official 10-Q says &gt;$20bn</t>
  </si>
  <si>
    <t>模型检查 / Integrity checks</t>
  </si>
  <si>
    <t>Tesla, Inc. (NASDAQ: TSLA) | All displayed checks should be Check / 0 | Valuation date: 2026-10-26</t>
  </si>
  <si>
    <t>BS balance — Q4 2026E</t>
  </si>
  <si>
    <t>BS balance — 2027E</t>
  </si>
  <si>
    <t>BS balance — 2028E</t>
  </si>
  <si>
    <t>BS balance — 2029E</t>
  </si>
  <si>
    <t>BS balance — 2030E</t>
  </si>
  <si>
    <t>Cash tie — 2030E</t>
  </si>
  <si>
    <t>Net income link — 2030E</t>
  </si>
  <si>
    <t>Retained earnings roll-forward — 2030E</t>
  </si>
  <si>
    <t>Debt schedule tie — 2030E</t>
  </si>
  <si>
    <t>Fixed asset roll-forward — 2030E</t>
  </si>
  <si>
    <t>Scenario engine equals active DCF</t>
  </si>
  <si>
    <t>WACC greater than terminal growth</t>
  </si>
  <si>
    <t>Non-negative cash — all forecast</t>
  </si>
  <si>
    <t>Coverage: BS balance, CF cash, NI link, retained earnings, debt, fixed assets, scenario parity, terminal inequality, liquidity.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</si>
</sst>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;\(#,##0\);\-"/>
    <numFmt numFmtId="177" formatCode="\$#,##0.00"/>
    <numFmt numFmtId="178" formatCode="#,##0.0;\(#,##0.0\);\-"/>
    <numFmt numFmtId="180" formatCode="yyyy\-mm\-dd"/>
    <numFmt numFmtId="181" formatCode="0.0%"/>
    <numFmt numFmtId="182" formatCode="0.000"/>
    <numFmt numFmtId="183" formatCode="0.0\x"/>
    <numFmt numFmtId="184" formatCode="0.0000"/>
  </numFmts>
  <fonts count="18" x14ac:knownFonts="1">
    <font>
      <sz val="11"/>
      <color theme="1"/>
      <name val="宋体"/>
      <family val="2"/>
      <scheme val="minor"/>
    </font>
    <font>
      <b/>
      <sz val="15"/>
      <color rgb="FFFFFFFF"/>
      <name val="Arial"/>
    </font>
    <font>
      <i/>
      <sz val="9"/>
      <color rgb="FF666666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sz val="10"/>
      <color rgb="FF0000CC"/>
      <name val="Arial"/>
    </font>
    <font>
      <sz val="11"/>
      <color theme="1"/>
      <name val="Arial"/>
    </font>
    <font>
      <sz val="10"/>
      <color rgb="FF000000"/>
      <name val="Arial"/>
    </font>
    <font>
      <sz val="9"/>
      <color rgb="FF666666"/>
      <name val="Arial"/>
    </font>
    <font>
      <b/>
      <sz val="10"/>
      <color rgb="FF0000CC"/>
      <name val="Arial"/>
    </font>
    <font>
      <b/>
      <sz val="11"/>
      <color rgb="FF000000"/>
      <name val="Arial"/>
    </font>
    <font>
      <sz val="11"/>
      <color rgb="FF999999"/>
      <name val="Arial"/>
    </font>
    <font>
      <b/>
      <sz val="11"/>
      <color rgb="FF008000"/>
      <name val="Arial"/>
    </font>
    <font>
      <i/>
      <sz val="10"/>
      <color rgb="FF666666"/>
      <name val="Arial"/>
    </font>
    <font>
      <sz val="10"/>
      <color rgb="FF008000"/>
      <name val="Arial"/>
    </font>
    <font>
      <b/>
      <sz val="12"/>
      <color rgb="FF008000"/>
      <name val="Arial"/>
    </font>
    <font>
      <b/>
      <sz val="10"/>
      <color rgb="FF008000"/>
      <name val="Arial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6365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0" borderId="0" xfId="0" applyFont="1"/>
    <xf numFmtId="0" fontId="2" fillId="0" borderId="0" xfId="0" applyFont="1"/>
    <xf numFmtId="0" fontId="15" fillId="0" borderId="0" xfId="0" applyFont="1"/>
    <xf numFmtId="0" fontId="10" fillId="6" borderId="0" xfId="0" applyFont="1" applyFill="1"/>
    <xf numFmtId="0" fontId="7" fillId="0" borderId="0" xfId="0" applyFont="1"/>
    <xf numFmtId="176" fontId="14" fillId="0" borderId="0" xfId="0" applyNumberFormat="1" applyFont="1"/>
    <xf numFmtId="0" fontId="3" fillId="0" borderId="0" xfId="0" applyFont="1"/>
    <xf numFmtId="177" fontId="16" fillId="0" borderId="0" xfId="0" applyNumberFormat="1" applyFont="1"/>
    <xf numFmtId="177" fontId="14" fillId="0" borderId="0" xfId="0" applyNumberFormat="1" applyFont="1"/>
    <xf numFmtId="181" fontId="14" fillId="0" borderId="0" xfId="0" applyNumberFormat="1" applyFont="1"/>
    <xf numFmtId="0" fontId="4" fillId="3" borderId="0" xfId="0" applyFont="1" applyFill="1"/>
    <xf numFmtId="0" fontId="8" fillId="0" borderId="0" xfId="0" applyFont="1"/>
    <xf numFmtId="0" fontId="9" fillId="5" borderId="0" xfId="0" applyFont="1" applyFill="1"/>
    <xf numFmtId="180" fontId="5" fillId="5" borderId="0" xfId="0" applyNumberFormat="1" applyFont="1" applyFill="1"/>
    <xf numFmtId="177" fontId="5" fillId="5" borderId="0" xfId="0" applyNumberFormat="1" applyFont="1" applyFill="1"/>
    <xf numFmtId="178" fontId="5" fillId="5" borderId="0" xfId="0" applyNumberFormat="1" applyFont="1" applyFill="1"/>
    <xf numFmtId="176" fontId="5" fillId="5" borderId="0" xfId="0" applyNumberFormat="1" applyFont="1" applyFill="1"/>
    <xf numFmtId="181" fontId="5" fillId="5" borderId="0" xfId="0" applyNumberFormat="1" applyFont="1" applyFill="1"/>
    <xf numFmtId="182" fontId="5" fillId="5" borderId="0" xfId="0" applyNumberFormat="1" applyFont="1" applyFill="1"/>
    <xf numFmtId="176" fontId="7" fillId="0" borderId="0" xfId="0" applyNumberFormat="1" applyFont="1"/>
    <xf numFmtId="181" fontId="7" fillId="0" borderId="0" xfId="0" applyNumberFormat="1" applyFont="1"/>
    <xf numFmtId="3" fontId="5" fillId="5" borderId="0" xfId="0" applyNumberFormat="1" applyFont="1" applyFill="1"/>
    <xf numFmtId="0" fontId="11" fillId="0" borderId="0" xfId="0" applyFont="1"/>
    <xf numFmtId="183" fontId="5" fillId="5" borderId="0" xfId="0" applyNumberFormat="1" applyFont="1" applyFill="1"/>
    <xf numFmtId="0" fontId="12" fillId="0" borderId="0" xfId="0" applyFont="1"/>
    <xf numFmtId="0" fontId="4" fillId="3" borderId="0" xfId="0" applyFont="1" applyFill="1" applyAlignment="1">
      <alignment horizontal="center"/>
    </xf>
    <xf numFmtId="0" fontId="5" fillId="4" borderId="0" xfId="0" applyFont="1" applyFill="1"/>
    <xf numFmtId="3" fontId="7" fillId="0" borderId="0" xfId="0" applyNumberFormat="1" applyFont="1"/>
    <xf numFmtId="178" fontId="7" fillId="0" borderId="0" xfId="0" applyNumberFormat="1" applyFont="1"/>
    <xf numFmtId="176" fontId="3" fillId="0" borderId="0" xfId="0" applyNumberFormat="1" applyFont="1"/>
    <xf numFmtId="181" fontId="5" fillId="4" borderId="0" xfId="0" applyNumberFormat="1" applyFont="1" applyFill="1"/>
    <xf numFmtId="183" fontId="7" fillId="0" borderId="0" xfId="0" applyNumberFormat="1" applyFont="1"/>
    <xf numFmtId="177" fontId="7" fillId="0" borderId="0" xfId="0" applyNumberFormat="1" applyFont="1"/>
    <xf numFmtId="0" fontId="13" fillId="0" borderId="0" xfId="0" applyFont="1"/>
    <xf numFmtId="176" fontId="5" fillId="4" borderId="0" xfId="0" applyNumberFormat="1" applyFont="1" applyFill="1"/>
    <xf numFmtId="184" fontId="7" fillId="0" borderId="0" xfId="0" applyNumberFormat="1" applyFont="1"/>
    <xf numFmtId="178" fontId="14" fillId="0" borderId="0" xfId="0" applyNumberFormat="1" applyFont="1"/>
    <xf numFmtId="177" fontId="3" fillId="0" borderId="0" xfId="0" applyNumberFormat="1" applyFont="1"/>
    <xf numFmtId="177" fontId="5" fillId="4" borderId="0" xfId="0" applyNumberFormat="1" applyFont="1" applyFill="1"/>
    <xf numFmtId="3" fontId="5" fillId="4" borderId="0" xfId="0" applyNumberFormat="1" applyFont="1" applyFill="1"/>
    <xf numFmtId="178" fontId="5" fillId="4" borderId="0" xfId="0" applyNumberFormat="1" applyFont="1" applyFill="1"/>
    <xf numFmtId="0" fontId="8" fillId="0" borderId="0" xfId="0" applyFont="1"/>
    <xf numFmtId="0" fontId="6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fiscal period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Summary!$B$29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Summary!$C$28:$K$28</c:f>
              <c:strCache>
                <c:ptCount val="9"/>
                <c:pt idx="0">
                  <c:v>2024A</c:v>
                </c:pt>
                <c:pt idx="1">
                  <c:v>2025A</c:v>
                </c:pt>
                <c:pt idx="2">
                  <c:v>9M2026A</c:v>
                </c:pt>
                <c:pt idx="3">
                  <c:v>Q4 2026E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Summary!$C$29:$K$29</c:f>
              <c:numCache>
                <c:formatCode>#,##0;\(#,##0\);\-</c:formatCode>
                <c:ptCount val="9"/>
                <c:pt idx="0">
                  <c:v>97690</c:v>
                </c:pt>
                <c:pt idx="1">
                  <c:v>94827</c:v>
                </c:pt>
                <c:pt idx="2">
                  <c:v>78669</c:v>
                </c:pt>
                <c:pt idx="3">
                  <c:v>30090</c:v>
                </c:pt>
                <c:pt idx="4">
                  <c:v>108759</c:v>
                </c:pt>
                <c:pt idx="5">
                  <c:v>127671.61322300001</c:v>
                </c:pt>
                <c:pt idx="6">
                  <c:v>150424.13236896222</c:v>
                </c:pt>
                <c:pt idx="7">
                  <c:v>173874.62908331805</c:v>
                </c:pt>
                <c:pt idx="8">
                  <c:v>196987.86725644386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E-4345-8210-F30EDF4BA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mn</a:t>
                </a:r>
              </a:p>
            </c:rich>
          </c:tx>
          <c:overlay val="1"/>
        </c:title>
        <c:numFmt formatCode="#,##0;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DCF value per share by 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Summary!$B$21</c:f>
              <c:strCache>
                <c:ptCount val="1"/>
                <c:pt idx="0">
                  <c:v>Implied value / share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Summary!$C$18:$E$18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Summary!$C$21:$E$21</c:f>
              <c:numCache>
                <c:formatCode>\$#,##0.00</c:formatCode>
                <c:ptCount val="3"/>
                <c:pt idx="0">
                  <c:v>9.6446448045193289</c:v>
                </c:pt>
                <c:pt idx="1">
                  <c:v>27.186360436834931</c:v>
                </c:pt>
                <c:pt idx="2">
                  <c:v>71.447786389690236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1-4D50-9041-C49DDF3F7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USD/share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360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4"/>
  <sheetViews>
    <sheetView showGridLines="0" tabSelected="1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0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1:11" ht="15.35" x14ac:dyDescent="0.5">
      <c r="A4" s="1"/>
      <c r="B4" s="1" t="s">
        <v>2</v>
      </c>
      <c r="C4" s="3" t="str">
        <f>Assumptions!C4</f>
        <v>Base</v>
      </c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">
      <c r="A6" s="1"/>
      <c r="B6" s="4" t="s">
        <v>3</v>
      </c>
      <c r="C6" s="4"/>
      <c r="D6" s="4"/>
      <c r="E6" s="4"/>
      <c r="F6" s="4"/>
      <c r="G6" s="4"/>
      <c r="H6" s="4"/>
      <c r="I6" s="1"/>
      <c r="J6" s="1"/>
      <c r="K6" s="1"/>
    </row>
    <row r="7" spans="1:11" x14ac:dyDescent="0.4">
      <c r="A7" s="1"/>
      <c r="B7" s="5" t="s">
        <v>4</v>
      </c>
      <c r="C7" s="6">
        <f>DCF!C30</f>
        <v>72137.102239519285</v>
      </c>
      <c r="D7" s="1"/>
      <c r="E7" s="1"/>
      <c r="F7" s="1"/>
      <c r="G7" s="1"/>
      <c r="H7" s="1"/>
      <c r="I7" s="1"/>
      <c r="J7" s="1"/>
      <c r="K7" s="1"/>
    </row>
    <row r="8" spans="1:11" x14ac:dyDescent="0.4">
      <c r="A8" s="1"/>
      <c r="B8" s="5" t="s">
        <v>5</v>
      </c>
      <c r="C8" s="6">
        <f>DCF!C34</f>
        <v>107461.10223951928</v>
      </c>
      <c r="D8" s="1"/>
      <c r="E8" s="1"/>
      <c r="F8" s="1"/>
      <c r="G8" s="1"/>
      <c r="H8" s="1"/>
      <c r="I8" s="1"/>
      <c r="J8" s="1"/>
      <c r="K8" s="1"/>
    </row>
    <row r="9" spans="1:11" x14ac:dyDescent="0.4">
      <c r="A9" s="1"/>
      <c r="B9" s="7" t="s">
        <v>6</v>
      </c>
      <c r="C9" s="8">
        <f>DCF!C36</f>
        <v>27.186360436834924</v>
      </c>
      <c r="D9" s="1"/>
      <c r="E9" s="1"/>
      <c r="F9" s="1"/>
      <c r="G9" s="1"/>
      <c r="H9" s="1"/>
      <c r="I9" s="1"/>
      <c r="J9" s="1"/>
      <c r="K9" s="1"/>
    </row>
    <row r="10" spans="1:11" x14ac:dyDescent="0.4">
      <c r="A10" s="1"/>
      <c r="B10" s="5" t="s">
        <v>7</v>
      </c>
      <c r="C10" s="9">
        <f>Assumptions!C9</f>
        <v>394.61999511720001</v>
      </c>
      <c r="D10" s="1"/>
      <c r="E10" s="1"/>
      <c r="F10" s="1"/>
      <c r="G10" s="1"/>
      <c r="H10" s="1"/>
      <c r="I10" s="1"/>
      <c r="J10" s="1"/>
      <c r="K10" s="1"/>
    </row>
    <row r="11" spans="1:11" x14ac:dyDescent="0.4">
      <c r="A11" s="1"/>
      <c r="B11" s="5" t="s">
        <v>8</v>
      </c>
      <c r="C11" s="10">
        <f>DCF!C38</f>
        <v>-0.9311074938593501</v>
      </c>
      <c r="D11" s="1"/>
      <c r="E11" s="1"/>
      <c r="F11" s="1"/>
      <c r="G11" s="1"/>
      <c r="H11" s="1"/>
      <c r="I11" s="1"/>
      <c r="J11" s="1"/>
      <c r="K11" s="1"/>
    </row>
    <row r="12" spans="1:11" x14ac:dyDescent="0.4">
      <c r="A12" s="1"/>
      <c r="B12" s="5" t="s">
        <v>9</v>
      </c>
      <c r="C12" s="10">
        <f>DCF!C23</f>
        <v>0.1299679126688513</v>
      </c>
      <c r="D12" s="1"/>
      <c r="E12" s="1"/>
      <c r="F12" s="1"/>
      <c r="G12" s="1"/>
      <c r="H12" s="1"/>
      <c r="I12" s="1"/>
      <c r="J12" s="1"/>
      <c r="K12" s="1"/>
    </row>
    <row r="13" spans="1:11" x14ac:dyDescent="0.4">
      <c r="A13" s="1"/>
      <c r="B13" s="5" t="s">
        <v>10</v>
      </c>
      <c r="C13" s="10">
        <f>DCF!C24</f>
        <v>2.5000000000000001E-2</v>
      </c>
      <c r="D13" s="1"/>
      <c r="E13" s="1"/>
      <c r="F13" s="1"/>
      <c r="G13" s="1"/>
      <c r="H13" s="1"/>
      <c r="I13" s="1"/>
      <c r="J13" s="1"/>
      <c r="K13" s="1"/>
    </row>
    <row r="14" spans="1:11" x14ac:dyDescent="0.4">
      <c r="A14" s="1"/>
      <c r="B14" s="5" t="s">
        <v>11</v>
      </c>
      <c r="C14" s="10">
        <f>DCF!C39</f>
        <v>0.96155392623916836</v>
      </c>
      <c r="D14" s="1"/>
      <c r="E14" s="1"/>
      <c r="F14" s="1"/>
      <c r="G14" s="1"/>
      <c r="H14" s="1"/>
      <c r="I14" s="1"/>
      <c r="J14" s="1"/>
      <c r="K14" s="1"/>
    </row>
    <row r="15" spans="1:1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4">
      <c r="A17" s="1"/>
      <c r="B17" s="4" t="s">
        <v>12</v>
      </c>
      <c r="C17" s="4"/>
      <c r="D17" s="4"/>
      <c r="E17" s="4"/>
      <c r="F17" s="4"/>
      <c r="G17" s="4"/>
      <c r="H17" s="4"/>
      <c r="I17" s="1"/>
      <c r="J17" s="1"/>
      <c r="K17" s="1"/>
    </row>
    <row r="18" spans="1:11" x14ac:dyDescent="0.4">
      <c r="A18" s="1"/>
      <c r="B18" s="11" t="s">
        <v>13</v>
      </c>
      <c r="C18" s="11" t="s">
        <v>14</v>
      </c>
      <c r="D18" s="11" t="s">
        <v>15</v>
      </c>
      <c r="E18" s="11" t="s">
        <v>16</v>
      </c>
      <c r="F18" s="1"/>
      <c r="G18" s="1"/>
      <c r="H18" s="1"/>
      <c r="I18" s="1"/>
      <c r="J18" s="1"/>
      <c r="K18" s="1"/>
    </row>
    <row r="19" spans="1:11" x14ac:dyDescent="0.4">
      <c r="A19" s="1"/>
      <c r="B19" s="5" t="s">
        <v>4</v>
      </c>
      <c r="C19" s="6">
        <f>'Scenario DCF'!C132</f>
        <v>2798.9463874113917</v>
      </c>
      <c r="D19" s="6">
        <f>'Scenario DCF'!C38</f>
        <v>72137.102239519314</v>
      </c>
      <c r="E19" s="6">
        <f>'Scenario DCF'!C85</f>
        <v>247091.80537595873</v>
      </c>
      <c r="F19" s="1"/>
      <c r="G19" s="1"/>
      <c r="H19" s="1"/>
      <c r="I19" s="1"/>
      <c r="J19" s="1"/>
      <c r="K19" s="1"/>
    </row>
    <row r="20" spans="1:11" x14ac:dyDescent="0.4">
      <c r="A20" s="1"/>
      <c r="B20" s="5" t="s">
        <v>5</v>
      </c>
      <c r="C20" s="6">
        <f>'Scenario DCF'!C136</f>
        <v>38122.946387411394</v>
      </c>
      <c r="D20" s="6">
        <f>'Scenario DCF'!C42</f>
        <v>107461.10223951931</v>
      </c>
      <c r="E20" s="6">
        <f>'Scenario DCF'!C89</f>
        <v>282415.80537595873</v>
      </c>
      <c r="F20" s="1"/>
      <c r="G20" s="1"/>
      <c r="H20" s="1"/>
      <c r="I20" s="1"/>
      <c r="J20" s="1"/>
      <c r="K20" s="1"/>
    </row>
    <row r="21" spans="1:11" x14ac:dyDescent="0.4">
      <c r="A21" s="1"/>
      <c r="B21" s="5" t="s">
        <v>6</v>
      </c>
      <c r="C21" s="9">
        <f>'Scenario DCF'!C138</f>
        <v>9.6446448045193289</v>
      </c>
      <c r="D21" s="9">
        <f>'Scenario DCF'!C44</f>
        <v>27.186360436834931</v>
      </c>
      <c r="E21" s="9">
        <f>'Scenario DCF'!C91</f>
        <v>71.447786389690236</v>
      </c>
      <c r="F21" s="1"/>
      <c r="G21" s="1"/>
      <c r="H21" s="1"/>
      <c r="I21" s="1"/>
      <c r="J21" s="1"/>
      <c r="K21" s="1"/>
    </row>
    <row r="22" spans="1:11" x14ac:dyDescent="0.4">
      <c r="A22" s="1"/>
      <c r="B22" s="5" t="s">
        <v>17</v>
      </c>
      <c r="C22" s="10">
        <f>'Scenario DCF'!C125</f>
        <v>0.13996791266885131</v>
      </c>
      <c r="D22" s="10">
        <f>'Scenario DCF'!C31</f>
        <v>0.1299679126688513</v>
      </c>
      <c r="E22" s="10">
        <f>'Scenario DCF'!C78</f>
        <v>0.1199679126688513</v>
      </c>
      <c r="F22" s="1"/>
      <c r="G22" s="1"/>
      <c r="H22" s="1"/>
      <c r="I22" s="1"/>
      <c r="J22" s="1"/>
      <c r="K22" s="1"/>
    </row>
    <row r="23" spans="1:11" x14ac:dyDescent="0.4">
      <c r="A23" s="1"/>
      <c r="B23" s="5" t="s">
        <v>10</v>
      </c>
      <c r="C23" s="10">
        <f>'Scenario DCF'!C126</f>
        <v>0.02</v>
      </c>
      <c r="D23" s="10">
        <f>'Scenario DCF'!C32</f>
        <v>2.5000000000000001E-2</v>
      </c>
      <c r="E23" s="10">
        <f>'Scenario DCF'!C79</f>
        <v>0.03</v>
      </c>
      <c r="F23" s="1"/>
      <c r="G23" s="1"/>
      <c r="H23" s="1"/>
      <c r="I23" s="1"/>
      <c r="J23" s="1"/>
      <c r="K23" s="1"/>
    </row>
    <row r="24" spans="1:11" x14ac:dyDescent="0.4">
      <c r="A24" s="1"/>
      <c r="B24" s="5" t="s">
        <v>11</v>
      </c>
      <c r="C24" s="10">
        <f>'Scenario DCF'!C141</f>
        <v>5.828998168061335</v>
      </c>
      <c r="D24" s="10">
        <f>'Scenario DCF'!C47</f>
        <v>0.96155392623916858</v>
      </c>
      <c r="E24" s="10">
        <f>'Scenario DCF'!C94</f>
        <v>0.80718167687006792</v>
      </c>
      <c r="F24" s="1"/>
      <c r="G24" s="1"/>
      <c r="H24" s="1"/>
      <c r="I24" s="1"/>
      <c r="J24" s="1"/>
      <c r="K24" s="1"/>
    </row>
    <row r="25" spans="1:1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4">
      <c r="A27" s="1"/>
      <c r="B27" s="4" t="s">
        <v>18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4">
      <c r="A28" s="1"/>
      <c r="B28" s="11" t="s">
        <v>13</v>
      </c>
      <c r="C28" s="11" t="s">
        <v>19</v>
      </c>
      <c r="D28" s="11" t="s">
        <v>20</v>
      </c>
      <c r="E28" s="11" t="s">
        <v>21</v>
      </c>
      <c r="F28" s="11" t="s">
        <v>22</v>
      </c>
      <c r="G28" s="11" t="s">
        <v>23</v>
      </c>
      <c r="H28" s="11" t="s">
        <v>24</v>
      </c>
      <c r="I28" s="11" t="s">
        <v>25</v>
      </c>
      <c r="J28" s="11" t="s">
        <v>26</v>
      </c>
      <c r="K28" s="11" t="s">
        <v>27</v>
      </c>
    </row>
    <row r="29" spans="1:11" x14ac:dyDescent="0.4">
      <c r="A29" s="1"/>
      <c r="B29" s="5" t="s">
        <v>28</v>
      </c>
      <c r="C29" s="6">
        <f>IS!C9</f>
        <v>97690</v>
      </c>
      <c r="D29" s="6">
        <f>IS!D9</f>
        <v>94827</v>
      </c>
      <c r="E29" s="6">
        <f>IS!E9</f>
        <v>78669</v>
      </c>
      <c r="F29" s="6">
        <f>IS!F9</f>
        <v>30090</v>
      </c>
      <c r="G29" s="6">
        <f>IS!G9</f>
        <v>108759</v>
      </c>
      <c r="H29" s="6">
        <f>IS!H9</f>
        <v>127671.61322300001</v>
      </c>
      <c r="I29" s="6">
        <f>IS!I9</f>
        <v>150424.13236896222</v>
      </c>
      <c r="J29" s="6">
        <f>IS!J9</f>
        <v>173874.62908331805</v>
      </c>
      <c r="K29" s="6">
        <f>IS!K9</f>
        <v>196987.86725644386</v>
      </c>
    </row>
    <row r="30" spans="1:11" x14ac:dyDescent="0.4">
      <c r="A30" s="1"/>
      <c r="B30" s="5" t="s">
        <v>29</v>
      </c>
      <c r="C30" s="10">
        <f>IS!C30</f>
        <v>0.17862626676220697</v>
      </c>
      <c r="D30" s="10">
        <f>IS!D30</f>
        <v>0.18026511436616155</v>
      </c>
      <c r="E30" s="10">
        <f>IS!E30</f>
        <v>0.19022740850906963</v>
      </c>
      <c r="F30" s="10">
        <f>IS!F30</f>
        <v>0.19190428713858429</v>
      </c>
      <c r="G30" s="10">
        <f>IS!G30</f>
        <v>0.190691345084085</v>
      </c>
      <c r="H30" s="10">
        <f>IS!H30</f>
        <v>0.19659972353077632</v>
      </c>
      <c r="I30" s="10">
        <f>IS!I30</f>
        <v>0.20233519328995431</v>
      </c>
      <c r="J30" s="10">
        <f>IS!J30</f>
        <v>0.20880399500079713</v>
      </c>
      <c r="K30" s="10">
        <f>IS!K30</f>
        <v>0.21509735503914776</v>
      </c>
    </row>
    <row r="31" spans="1:11" x14ac:dyDescent="0.4">
      <c r="A31" s="1"/>
      <c r="B31" s="5" t="s">
        <v>30</v>
      </c>
      <c r="C31" s="6">
        <f>IS!C18</f>
        <v>7076</v>
      </c>
      <c r="D31" s="6">
        <f>IS!D18</f>
        <v>4355</v>
      </c>
      <c r="E31" s="6">
        <f>IS!E18</f>
        <v>2057</v>
      </c>
      <c r="F31" s="6">
        <f>IS!F18</f>
        <v>960.00000000000136</v>
      </c>
      <c r="G31" s="6">
        <f>IS!G18</f>
        <v>3017.0000000000014</v>
      </c>
      <c r="H31" s="6">
        <f>IS!H18</f>
        <v>5949.4618789200049</v>
      </c>
      <c r="I31" s="6">
        <f>IS!I18</f>
        <v>9376.7173666929339</v>
      </c>
      <c r="J31" s="6">
        <f>IS!J18</f>
        <v>13702.015401047254</v>
      </c>
      <c r="K31" s="6">
        <f>IS!K18</f>
        <v>18733.025150890549</v>
      </c>
    </row>
    <row r="32" spans="1:11" x14ac:dyDescent="0.4">
      <c r="A32" s="1"/>
      <c r="B32" s="5" t="s">
        <v>31</v>
      </c>
      <c r="C32" s="10">
        <f>IS!C31</f>
        <v>7.2433207083631893E-2</v>
      </c>
      <c r="D32" s="10">
        <f>IS!D31</f>
        <v>4.5925738450019508E-2</v>
      </c>
      <c r="E32" s="10">
        <f>IS!E31</f>
        <v>2.6147529522429418E-2</v>
      </c>
      <c r="F32" s="10">
        <f>IS!F31</f>
        <v>3.1904287138584293E-2</v>
      </c>
      <c r="G32" s="10">
        <f>IS!G31</f>
        <v>2.7740232992212153E-2</v>
      </c>
      <c r="H32" s="10">
        <f>IS!H31</f>
        <v>4.6599723530776307E-2</v>
      </c>
      <c r="I32" s="10">
        <f>IS!I31</f>
        <v>6.2335193289954315E-2</v>
      </c>
      <c r="J32" s="10">
        <f>IS!J31</f>
        <v>7.8803995000797142E-2</v>
      </c>
      <c r="K32" s="10">
        <f>IS!K31</f>
        <v>9.5097355039147749E-2</v>
      </c>
    </row>
    <row r="33" spans="1:11" x14ac:dyDescent="0.4">
      <c r="A33" s="1"/>
      <c r="B33" s="5" t="s">
        <v>32</v>
      </c>
      <c r="C33" s="6">
        <f>IS!C26</f>
        <v>7091</v>
      </c>
      <c r="D33" s="6">
        <f>IS!D26</f>
        <v>3794</v>
      </c>
      <c r="E33" s="6">
        <f>IS!E26</f>
        <v>2378</v>
      </c>
      <c r="F33" s="6">
        <f>IS!F26</f>
        <v>1026.566606000001</v>
      </c>
      <c r="G33" s="6">
        <f>IS!G26</f>
        <v>3404.5666060000012</v>
      </c>
      <c r="H33" s="6">
        <f>IS!H26</f>
        <v>5697.9208131856567</v>
      </c>
      <c r="I33" s="6">
        <f>IS!I26</f>
        <v>8320.7594341425429</v>
      </c>
      <c r="J33" s="6">
        <f>IS!J26</f>
        <v>11871.318059550924</v>
      </c>
      <c r="K33" s="6">
        <f>IS!K26</f>
        <v>16215.627101153135</v>
      </c>
    </row>
    <row r="34" spans="1:1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4">
      <c r="A36" s="1"/>
      <c r="B36" s="4" t="s">
        <v>33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4">
      <c r="A37" s="1"/>
      <c r="B37" s="42" t="s">
        <v>34</v>
      </c>
      <c r="C37" s="43"/>
      <c r="D37" s="43"/>
      <c r="E37" s="43"/>
      <c r="F37" s="43"/>
      <c r="G37" s="43"/>
      <c r="H37" s="43"/>
      <c r="I37" s="43"/>
      <c r="J37" s="43"/>
      <c r="K37" s="43"/>
    </row>
    <row r="38" spans="1:11" x14ac:dyDescent="0.4">
      <c r="A38" s="1"/>
      <c r="B38" s="42" t="s">
        <v>35</v>
      </c>
      <c r="C38" s="43"/>
      <c r="D38" s="43"/>
      <c r="E38" s="43"/>
      <c r="F38" s="43"/>
      <c r="G38" s="43"/>
      <c r="H38" s="43"/>
      <c r="I38" s="43"/>
      <c r="J38" s="43"/>
      <c r="K38" s="43"/>
    </row>
    <row r="39" spans="1:11" x14ac:dyDescent="0.4">
      <c r="A39" s="1"/>
      <c r="B39" s="42" t="s">
        <v>36</v>
      </c>
      <c r="C39" s="43"/>
      <c r="D39" s="43"/>
      <c r="E39" s="43"/>
      <c r="F39" s="43"/>
      <c r="G39" s="43"/>
      <c r="H39" s="43"/>
      <c r="I39" s="43"/>
      <c r="J39" s="43"/>
      <c r="K39" s="43"/>
    </row>
    <row r="40" spans="1:11" x14ac:dyDescent="0.4">
      <c r="A40" s="1"/>
      <c r="B40" s="42" t="s">
        <v>37</v>
      </c>
      <c r="C40" s="43"/>
      <c r="D40" s="43"/>
      <c r="E40" s="43"/>
      <c r="F40" s="43"/>
      <c r="G40" s="43"/>
      <c r="H40" s="43"/>
      <c r="I40" s="43"/>
      <c r="J40" s="43"/>
      <c r="K40" s="43"/>
    </row>
    <row r="41" spans="1:11" x14ac:dyDescent="0.4">
      <c r="A41" s="1"/>
      <c r="B41" s="42" t="s">
        <v>38</v>
      </c>
      <c r="C41" s="43"/>
      <c r="D41" s="43"/>
      <c r="E41" s="43"/>
      <c r="F41" s="43"/>
      <c r="G41" s="43"/>
      <c r="H41" s="43"/>
      <c r="I41" s="43"/>
      <c r="J41" s="43"/>
      <c r="K41" s="43"/>
    </row>
    <row r="42" spans="1:11" x14ac:dyDescent="0.4">
      <c r="A42" s="1"/>
      <c r="B42" s="42" t="s">
        <v>39</v>
      </c>
      <c r="C42" s="43"/>
      <c r="D42" s="43"/>
      <c r="E42" s="43"/>
      <c r="F42" s="43"/>
      <c r="G42" s="43"/>
      <c r="H42" s="43"/>
      <c r="I42" s="43"/>
      <c r="J42" s="43"/>
      <c r="K42" s="43"/>
    </row>
    <row r="43" spans="1:11" x14ac:dyDescent="0.4">
      <c r="A43" s="1"/>
      <c r="B43" s="42" t="s">
        <v>40</v>
      </c>
      <c r="C43" s="43"/>
      <c r="D43" s="43"/>
      <c r="E43" s="43"/>
      <c r="F43" s="43"/>
      <c r="G43" s="43"/>
      <c r="H43" s="43"/>
      <c r="I43" s="43"/>
      <c r="J43" s="43"/>
      <c r="K43" s="43"/>
    </row>
    <row r="44" spans="1:11" x14ac:dyDescent="0.4">
      <c r="A44" s="1"/>
      <c r="B44" s="42" t="s">
        <v>41</v>
      </c>
      <c r="C44" s="43"/>
      <c r="D44" s="43"/>
      <c r="E44" s="43"/>
      <c r="F44" s="43"/>
      <c r="G44" s="43"/>
      <c r="H44" s="43"/>
      <c r="I44" s="43"/>
      <c r="J44" s="43"/>
      <c r="K44" s="43"/>
    </row>
  </sheetData>
  <mergeCells count="9">
    <mergeCell ref="B38:K38"/>
    <mergeCell ref="B2:K2"/>
    <mergeCell ref="B42:K42"/>
    <mergeCell ref="B37:K37"/>
    <mergeCell ref="B41:K41"/>
    <mergeCell ref="B40:K40"/>
    <mergeCell ref="B44:K44"/>
    <mergeCell ref="B43:K43"/>
    <mergeCell ref="B39:K39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1"/>
  <sheetViews>
    <sheetView showGridLines="0" zoomScale="90" workbookViewId="0">
      <pane xSplit="5" ySplit="28" topLeftCell="F29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38" customWidth="1"/>
    <col min="3" max="3" width="18" customWidth="1"/>
    <col min="4" max="4" width="24" customWidth="1"/>
    <col min="5" max="5" width="72" customWidth="1"/>
    <col min="6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9" x14ac:dyDescent="0.6">
      <c r="A2" s="1"/>
      <c r="B2" s="44" t="s">
        <v>42</v>
      </c>
      <c r="C2" s="43"/>
      <c r="D2" s="43"/>
      <c r="E2" s="43"/>
      <c r="F2" s="43"/>
      <c r="G2" s="43"/>
      <c r="H2" s="43"/>
      <c r="I2" s="43"/>
      <c r="J2" s="43"/>
      <c r="K2" s="46"/>
    </row>
    <row r="3" spans="1:11" x14ac:dyDescent="0.4">
      <c r="A3" s="1"/>
      <c r="B3" s="2" t="s">
        <v>43</v>
      </c>
      <c r="C3" s="1"/>
      <c r="D3" s="1"/>
      <c r="E3" s="1"/>
      <c r="F3" s="1"/>
      <c r="G3" s="1"/>
      <c r="H3" s="1"/>
      <c r="I3" s="1"/>
      <c r="J3" s="1"/>
    </row>
    <row r="4" spans="1:11" x14ac:dyDescent="0.4">
      <c r="A4" s="1"/>
      <c r="B4" s="1" t="s">
        <v>2</v>
      </c>
      <c r="C4" s="13" t="s">
        <v>15</v>
      </c>
      <c r="D4" s="1"/>
      <c r="E4" s="1"/>
      <c r="F4" s="1"/>
      <c r="G4" s="1"/>
      <c r="H4" s="1"/>
      <c r="I4" s="1"/>
      <c r="J4" s="1"/>
    </row>
    <row r="5" spans="1:11" x14ac:dyDescent="0.4">
      <c r="A5" s="1"/>
      <c r="B5" s="45" t="s">
        <v>44</v>
      </c>
      <c r="C5" s="43"/>
      <c r="D5" s="43"/>
      <c r="E5" s="43"/>
      <c r="F5" s="43"/>
      <c r="G5" s="43"/>
      <c r="H5" s="43"/>
      <c r="I5" s="43"/>
      <c r="J5" s="43"/>
    </row>
    <row r="6" spans="1:11" x14ac:dyDescent="0.4">
      <c r="A6" s="1"/>
      <c r="B6" s="1"/>
      <c r="C6" s="1"/>
      <c r="D6" s="1"/>
      <c r="E6" s="1"/>
      <c r="F6" s="1"/>
      <c r="G6" s="1"/>
      <c r="H6" s="1"/>
      <c r="I6" s="1"/>
      <c r="J6" s="1"/>
    </row>
    <row r="7" spans="1:11" x14ac:dyDescent="0.4">
      <c r="A7" s="1"/>
      <c r="B7" s="4" t="s">
        <v>45</v>
      </c>
      <c r="C7" s="4"/>
      <c r="D7" s="4"/>
      <c r="E7" s="4"/>
      <c r="F7" s="4"/>
      <c r="G7" s="4"/>
      <c r="H7" s="4"/>
      <c r="I7" s="4"/>
      <c r="J7" s="4"/>
    </row>
    <row r="8" spans="1:11" x14ac:dyDescent="0.4">
      <c r="A8" s="1"/>
      <c r="B8" s="5" t="s">
        <v>46</v>
      </c>
      <c r="C8" s="14">
        <v>46321</v>
      </c>
      <c r="D8" s="12" t="s">
        <v>47</v>
      </c>
      <c r="E8" s="12" t="s">
        <v>48</v>
      </c>
      <c r="F8" s="1"/>
      <c r="G8" s="1"/>
      <c r="H8" s="1"/>
      <c r="I8" s="1"/>
      <c r="J8" s="1"/>
    </row>
    <row r="9" spans="1:11" x14ac:dyDescent="0.4">
      <c r="A9" s="1"/>
      <c r="B9" s="5" t="s">
        <v>49</v>
      </c>
      <c r="C9" s="15">
        <v>394.61999511720001</v>
      </c>
      <c r="D9" s="12" t="s">
        <v>50</v>
      </c>
      <c r="E9" s="12" t="s">
        <v>51</v>
      </c>
      <c r="F9" s="1"/>
      <c r="G9" s="1"/>
      <c r="H9" s="1"/>
      <c r="I9" s="1"/>
      <c r="J9" s="1"/>
    </row>
    <row r="10" spans="1:11" x14ac:dyDescent="0.4">
      <c r="A10" s="1"/>
      <c r="B10" s="5" t="s">
        <v>52</v>
      </c>
      <c r="C10" s="16">
        <v>3952.7579460000002</v>
      </c>
      <c r="D10" s="12" t="s">
        <v>53</v>
      </c>
      <c r="E10" s="12" t="s">
        <v>54</v>
      </c>
      <c r="F10" s="1"/>
      <c r="G10" s="1"/>
      <c r="H10" s="1"/>
      <c r="I10" s="1"/>
      <c r="J10" s="1"/>
    </row>
    <row r="11" spans="1:11" x14ac:dyDescent="0.4">
      <c r="A11" s="1"/>
      <c r="B11" s="5" t="s">
        <v>55</v>
      </c>
      <c r="C11" s="17">
        <v>45447</v>
      </c>
      <c r="D11" s="12" t="s">
        <v>53</v>
      </c>
      <c r="E11" s="12" t="s">
        <v>56</v>
      </c>
      <c r="F11" s="1"/>
      <c r="G11" s="1"/>
      <c r="H11" s="1"/>
      <c r="I11" s="1"/>
      <c r="J11" s="1"/>
    </row>
    <row r="12" spans="1:11" x14ac:dyDescent="0.4">
      <c r="A12" s="1"/>
      <c r="B12" s="5" t="s">
        <v>57</v>
      </c>
      <c r="C12" s="17">
        <v>9523</v>
      </c>
      <c r="D12" s="12" t="s">
        <v>53</v>
      </c>
      <c r="E12" s="12" t="s">
        <v>58</v>
      </c>
      <c r="F12" s="1"/>
      <c r="G12" s="1"/>
      <c r="H12" s="1"/>
      <c r="I12" s="1"/>
      <c r="J12" s="1"/>
    </row>
    <row r="13" spans="1:11" x14ac:dyDescent="0.4">
      <c r="A13" s="1"/>
      <c r="B13" s="5" t="s">
        <v>59</v>
      </c>
      <c r="C13" s="17">
        <v>600</v>
      </c>
      <c r="D13" s="12" t="s">
        <v>53</v>
      </c>
      <c r="E13" s="12" t="s">
        <v>60</v>
      </c>
      <c r="F13" s="1"/>
      <c r="G13" s="1"/>
      <c r="H13" s="1"/>
      <c r="I13" s="1"/>
      <c r="J13" s="1"/>
    </row>
    <row r="14" spans="1:11" x14ac:dyDescent="0.4">
      <c r="A14" s="1"/>
      <c r="B14" s="5" t="s">
        <v>61</v>
      </c>
      <c r="C14" s="18">
        <v>0.05</v>
      </c>
      <c r="D14" s="12" t="s">
        <v>62</v>
      </c>
      <c r="E14" s="12" t="s">
        <v>63</v>
      </c>
      <c r="F14" s="1"/>
      <c r="G14" s="1"/>
      <c r="H14" s="1"/>
      <c r="I14" s="1"/>
      <c r="J14" s="1"/>
    </row>
    <row r="15" spans="1:11" x14ac:dyDescent="0.4">
      <c r="A15" s="1"/>
      <c r="B15" s="5" t="s">
        <v>64</v>
      </c>
      <c r="C15" s="19">
        <v>1.9159999999999999</v>
      </c>
      <c r="D15" s="12" t="s">
        <v>65</v>
      </c>
      <c r="E15" s="12" t="s">
        <v>66</v>
      </c>
      <c r="F15" s="1"/>
      <c r="G15" s="1"/>
      <c r="H15" s="1"/>
      <c r="I15" s="1"/>
      <c r="J15" s="1"/>
    </row>
    <row r="16" spans="1:11" x14ac:dyDescent="0.4">
      <c r="A16" s="1"/>
      <c r="B16" s="5" t="s">
        <v>67</v>
      </c>
      <c r="C16" s="18">
        <v>4.2000000000000003E-2</v>
      </c>
      <c r="D16" s="12" t="s">
        <v>68</v>
      </c>
      <c r="E16" s="12" t="s">
        <v>69</v>
      </c>
      <c r="F16" s="1"/>
      <c r="G16" s="1"/>
      <c r="H16" s="1"/>
      <c r="I16" s="1"/>
      <c r="J16" s="1"/>
    </row>
    <row r="17" spans="1:10" x14ac:dyDescent="0.4">
      <c r="A17" s="1"/>
      <c r="B17" s="5" t="s">
        <v>70</v>
      </c>
      <c r="C17" s="18">
        <v>0.06</v>
      </c>
      <c r="D17" s="12" t="s">
        <v>71</v>
      </c>
      <c r="E17" s="12" t="s">
        <v>72</v>
      </c>
      <c r="F17" s="1"/>
      <c r="G17" s="1"/>
      <c r="H17" s="1"/>
      <c r="I17" s="1"/>
      <c r="J17" s="1"/>
    </row>
    <row r="18" spans="1:10" x14ac:dyDescent="0.4">
      <c r="A18" s="1"/>
      <c r="B18" s="5" t="s">
        <v>73</v>
      </c>
      <c r="C18" s="18">
        <v>0.21</v>
      </c>
      <c r="D18" s="12" t="s">
        <v>74</v>
      </c>
      <c r="E18" s="12" t="s">
        <v>75</v>
      </c>
      <c r="F18" s="1"/>
      <c r="G18" s="1"/>
      <c r="H18" s="1"/>
      <c r="I18" s="1"/>
      <c r="J18" s="1"/>
    </row>
    <row r="19" spans="1:10" x14ac:dyDescent="0.4">
      <c r="A19" s="1"/>
      <c r="B19" s="5" t="s">
        <v>76</v>
      </c>
      <c r="C19" s="20">
        <f>C9*C10</f>
        <v>1559837.3213499936</v>
      </c>
      <c r="D19" s="12" t="s">
        <v>77</v>
      </c>
      <c r="E19" s="12" t="s">
        <v>78</v>
      </c>
      <c r="F19" s="1"/>
      <c r="G19" s="1"/>
      <c r="H19" s="1"/>
      <c r="I19" s="1"/>
      <c r="J19" s="1"/>
    </row>
    <row r="20" spans="1:10" x14ac:dyDescent="0.4">
      <c r="A20" s="1"/>
      <c r="B20" s="5" t="s">
        <v>79</v>
      </c>
      <c r="C20" s="21">
        <f>C14+C15*C16</f>
        <v>0.130472</v>
      </c>
      <c r="D20" s="12" t="s">
        <v>80</v>
      </c>
      <c r="E20" s="12" t="s">
        <v>81</v>
      </c>
      <c r="F20" s="1"/>
      <c r="G20" s="1"/>
      <c r="H20" s="1"/>
      <c r="I20" s="1"/>
      <c r="J20" s="1"/>
    </row>
    <row r="21" spans="1:10" x14ac:dyDescent="0.4">
      <c r="A21" s="1"/>
      <c r="B21" s="5" t="s">
        <v>82</v>
      </c>
      <c r="C21" s="21">
        <f>C19/(C19+C12)</f>
        <v>0.99393192253528617</v>
      </c>
      <c r="D21" s="12" t="s">
        <v>77</v>
      </c>
      <c r="E21" s="12" t="s">
        <v>83</v>
      </c>
      <c r="F21" s="1"/>
      <c r="G21" s="1"/>
      <c r="H21" s="1"/>
      <c r="I21" s="1"/>
      <c r="J21" s="1"/>
    </row>
    <row r="22" spans="1:10" x14ac:dyDescent="0.4">
      <c r="A22" s="1"/>
      <c r="B22" s="5" t="s">
        <v>84</v>
      </c>
      <c r="C22" s="21">
        <f>C12/(C19+C12)</f>
        <v>6.0680774647138619E-3</v>
      </c>
      <c r="D22" s="12" t="s">
        <v>77</v>
      </c>
      <c r="E22" s="12" t="s">
        <v>85</v>
      </c>
      <c r="F22" s="1"/>
      <c r="G22" s="1"/>
      <c r="H22" s="1"/>
      <c r="I22" s="1"/>
      <c r="J22" s="1"/>
    </row>
    <row r="23" spans="1:10" x14ac:dyDescent="0.4">
      <c r="A23" s="1"/>
      <c r="B23" s="5" t="s">
        <v>86</v>
      </c>
      <c r="C23" s="21">
        <f>C20*C21+C17*(1-C18)*C22</f>
        <v>0.1299679126688513</v>
      </c>
      <c r="D23" s="12" t="s">
        <v>77</v>
      </c>
      <c r="E23" s="12" t="s">
        <v>87</v>
      </c>
      <c r="F23" s="1"/>
      <c r="G23" s="1"/>
      <c r="H23" s="1"/>
      <c r="I23" s="1"/>
      <c r="J23" s="1"/>
    </row>
    <row r="24" spans="1:10" x14ac:dyDescent="0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4">
      <c r="A27" s="1"/>
      <c r="B27" s="4" t="s">
        <v>88</v>
      </c>
      <c r="C27" s="4"/>
      <c r="D27" s="4"/>
      <c r="E27" s="4"/>
      <c r="F27" s="4"/>
      <c r="G27" s="4"/>
      <c r="H27" s="4"/>
      <c r="I27" s="4"/>
      <c r="J27" s="4"/>
    </row>
    <row r="28" spans="1:10" x14ac:dyDescent="0.4">
      <c r="A28" s="1"/>
      <c r="B28" s="11" t="s">
        <v>89</v>
      </c>
      <c r="C28" s="11" t="s">
        <v>90</v>
      </c>
      <c r="D28" s="11" t="s">
        <v>91</v>
      </c>
      <c r="E28" s="11" t="s">
        <v>92</v>
      </c>
      <c r="F28" s="11" t="s">
        <v>22</v>
      </c>
      <c r="G28" s="11" t="s">
        <v>24</v>
      </c>
      <c r="H28" s="11" t="s">
        <v>25</v>
      </c>
      <c r="I28" s="11" t="s">
        <v>26</v>
      </c>
      <c r="J28" s="11" t="s">
        <v>27</v>
      </c>
    </row>
    <row r="29" spans="1:10" x14ac:dyDescent="0.4">
      <c r="A29" s="1"/>
      <c r="B29" s="5" t="s">
        <v>93</v>
      </c>
      <c r="C29" s="12" t="s">
        <v>94</v>
      </c>
      <c r="D29" s="12" t="s">
        <v>95</v>
      </c>
      <c r="E29" s="12" t="s">
        <v>96</v>
      </c>
      <c r="F29" s="22">
        <v>520000</v>
      </c>
      <c r="G29" s="23" t="s">
        <v>97</v>
      </c>
      <c r="H29" s="23" t="s">
        <v>97</v>
      </c>
      <c r="I29" s="23" t="s">
        <v>97</v>
      </c>
      <c r="J29" s="23" t="s">
        <v>97</v>
      </c>
    </row>
    <row r="30" spans="1:10" x14ac:dyDescent="0.4">
      <c r="A30" s="1"/>
      <c r="B30" s="5" t="s">
        <v>98</v>
      </c>
      <c r="C30" s="12" t="s">
        <v>99</v>
      </c>
      <c r="D30" s="12" t="s">
        <v>95</v>
      </c>
      <c r="E30" s="12" t="s">
        <v>100</v>
      </c>
      <c r="F30" s="23" t="s">
        <v>97</v>
      </c>
      <c r="G30" s="18">
        <v>0.15</v>
      </c>
      <c r="H30" s="18">
        <v>0.14000000000000001</v>
      </c>
      <c r="I30" s="18">
        <v>0.12</v>
      </c>
      <c r="J30" s="18">
        <v>0.1</v>
      </c>
    </row>
    <row r="31" spans="1:10" x14ac:dyDescent="0.4">
      <c r="A31" s="1"/>
      <c r="B31" s="5" t="s">
        <v>101</v>
      </c>
      <c r="C31" s="12" t="s">
        <v>102</v>
      </c>
      <c r="D31" s="12" t="s">
        <v>95</v>
      </c>
      <c r="E31" s="12" t="s">
        <v>103</v>
      </c>
      <c r="F31" s="16">
        <v>42000</v>
      </c>
      <c r="G31" s="23" t="s">
        <v>97</v>
      </c>
      <c r="H31" s="23" t="s">
        <v>97</v>
      </c>
      <c r="I31" s="23" t="s">
        <v>97</v>
      </c>
      <c r="J31" s="23" t="s">
        <v>97</v>
      </c>
    </row>
    <row r="32" spans="1:10" x14ac:dyDescent="0.4">
      <c r="A32" s="1"/>
      <c r="B32" s="5" t="s">
        <v>104</v>
      </c>
      <c r="C32" s="12" t="s">
        <v>99</v>
      </c>
      <c r="D32" s="12" t="s">
        <v>95</v>
      </c>
      <c r="E32" s="12" t="s">
        <v>105</v>
      </c>
      <c r="F32" s="23" t="s">
        <v>97</v>
      </c>
      <c r="G32" s="18">
        <v>0.01</v>
      </c>
      <c r="H32" s="18">
        <v>0.01</v>
      </c>
      <c r="I32" s="18">
        <v>0.01</v>
      </c>
      <c r="J32" s="18">
        <v>0.01</v>
      </c>
    </row>
    <row r="33" spans="1:10" x14ac:dyDescent="0.4">
      <c r="A33" s="1"/>
      <c r="B33" s="5" t="s">
        <v>106</v>
      </c>
      <c r="C33" s="12" t="s">
        <v>107</v>
      </c>
      <c r="D33" s="12" t="s">
        <v>95</v>
      </c>
      <c r="E33" s="12" t="s">
        <v>108</v>
      </c>
      <c r="F33" s="16">
        <v>15</v>
      </c>
      <c r="G33" s="23" t="s">
        <v>97</v>
      </c>
      <c r="H33" s="23" t="s">
        <v>97</v>
      </c>
      <c r="I33" s="23" t="s">
        <v>97</v>
      </c>
      <c r="J33" s="23" t="s">
        <v>97</v>
      </c>
    </row>
    <row r="34" spans="1:10" x14ac:dyDescent="0.4">
      <c r="A34" s="1"/>
      <c r="B34" s="5" t="s">
        <v>109</v>
      </c>
      <c r="C34" s="12" t="s">
        <v>99</v>
      </c>
      <c r="D34" s="12" t="s">
        <v>95</v>
      </c>
      <c r="E34" s="12" t="s">
        <v>110</v>
      </c>
      <c r="F34" s="23" t="s">
        <v>97</v>
      </c>
      <c r="G34" s="18">
        <v>0.35</v>
      </c>
      <c r="H34" s="18">
        <v>0.3</v>
      </c>
      <c r="I34" s="18">
        <v>0.25</v>
      </c>
      <c r="J34" s="18">
        <v>0.2</v>
      </c>
    </row>
    <row r="35" spans="1:10" x14ac:dyDescent="0.4">
      <c r="A35" s="1"/>
      <c r="B35" s="5" t="s">
        <v>111</v>
      </c>
      <c r="C35" s="12" t="s">
        <v>112</v>
      </c>
      <c r="D35" s="12" t="s">
        <v>95</v>
      </c>
      <c r="E35" s="12" t="s">
        <v>113</v>
      </c>
      <c r="F35" s="16">
        <v>230</v>
      </c>
      <c r="G35" s="23" t="s">
        <v>97</v>
      </c>
      <c r="H35" s="23" t="s">
        <v>97</v>
      </c>
      <c r="I35" s="23" t="s">
        <v>97</v>
      </c>
      <c r="J35" s="23" t="s">
        <v>97</v>
      </c>
    </row>
    <row r="36" spans="1:10" x14ac:dyDescent="0.4">
      <c r="A36" s="1"/>
      <c r="B36" s="5" t="s">
        <v>114</v>
      </c>
      <c r="C36" s="12" t="s">
        <v>99</v>
      </c>
      <c r="D36" s="12" t="s">
        <v>95</v>
      </c>
      <c r="E36" s="12" t="s">
        <v>115</v>
      </c>
      <c r="F36" s="23" t="s">
        <v>97</v>
      </c>
      <c r="G36" s="18">
        <v>-0.02</v>
      </c>
      <c r="H36" s="18">
        <v>-0.02</v>
      </c>
      <c r="I36" s="18">
        <v>-0.02</v>
      </c>
      <c r="J36" s="18">
        <v>-0.02</v>
      </c>
    </row>
    <row r="37" spans="1:10" x14ac:dyDescent="0.4">
      <c r="A37" s="1"/>
      <c r="B37" s="5" t="s">
        <v>116</v>
      </c>
      <c r="C37" s="12" t="s">
        <v>117</v>
      </c>
      <c r="D37" s="12" t="s">
        <v>95</v>
      </c>
      <c r="E37" s="12" t="s">
        <v>118</v>
      </c>
      <c r="F37" s="17">
        <v>4800</v>
      </c>
      <c r="G37" s="23" t="s">
        <v>97</v>
      </c>
      <c r="H37" s="23" t="s">
        <v>97</v>
      </c>
      <c r="I37" s="23" t="s">
        <v>97</v>
      </c>
      <c r="J37" s="23" t="s">
        <v>97</v>
      </c>
    </row>
    <row r="38" spans="1:10" x14ac:dyDescent="0.4">
      <c r="A38" s="1"/>
      <c r="B38" s="5" t="s">
        <v>119</v>
      </c>
      <c r="C38" s="12" t="s">
        <v>99</v>
      </c>
      <c r="D38" s="12" t="s">
        <v>95</v>
      </c>
      <c r="E38" s="12" t="s">
        <v>120</v>
      </c>
      <c r="F38" s="23" t="s">
        <v>97</v>
      </c>
      <c r="G38" s="18">
        <v>0.25</v>
      </c>
      <c r="H38" s="18">
        <v>0.22</v>
      </c>
      <c r="I38" s="18">
        <v>0.2</v>
      </c>
      <c r="J38" s="18">
        <v>0.18</v>
      </c>
    </row>
    <row r="39" spans="1:10" x14ac:dyDescent="0.4">
      <c r="A39" s="1"/>
      <c r="B39" s="5" t="s">
        <v>121</v>
      </c>
      <c r="C39" s="12" t="s">
        <v>99</v>
      </c>
      <c r="D39" s="12" t="s">
        <v>95</v>
      </c>
      <c r="E39" s="12" t="s">
        <v>122</v>
      </c>
      <c r="F39" s="18">
        <v>0.185</v>
      </c>
      <c r="G39" s="18">
        <v>0.19</v>
      </c>
      <c r="H39" s="18">
        <v>0.19500000000000001</v>
      </c>
      <c r="I39" s="18">
        <v>0.2</v>
      </c>
      <c r="J39" s="18">
        <v>0.20499999999999999</v>
      </c>
    </row>
    <row r="40" spans="1:10" x14ac:dyDescent="0.4">
      <c r="A40" s="1"/>
      <c r="B40" s="5" t="s">
        <v>123</v>
      </c>
      <c r="C40" s="12" t="s">
        <v>99</v>
      </c>
      <c r="D40" s="12" t="s">
        <v>95</v>
      </c>
      <c r="E40" s="12" t="s">
        <v>124</v>
      </c>
      <c r="F40" s="18">
        <v>0.28000000000000003</v>
      </c>
      <c r="G40" s="18">
        <v>0.28000000000000003</v>
      </c>
      <c r="H40" s="18">
        <v>0.28499999999999998</v>
      </c>
      <c r="I40" s="18">
        <v>0.28999999999999998</v>
      </c>
      <c r="J40" s="18">
        <v>0.29499999999999998</v>
      </c>
    </row>
    <row r="41" spans="1:10" x14ac:dyDescent="0.4">
      <c r="A41" s="1"/>
      <c r="B41" s="5" t="s">
        <v>125</v>
      </c>
      <c r="C41" s="12" t="s">
        <v>99</v>
      </c>
      <c r="D41" s="12" t="s">
        <v>95</v>
      </c>
      <c r="E41" s="12" t="s">
        <v>126</v>
      </c>
      <c r="F41" s="18">
        <v>0.16</v>
      </c>
      <c r="G41" s="18">
        <v>0.16500000000000001</v>
      </c>
      <c r="H41" s="18">
        <v>0.17</v>
      </c>
      <c r="I41" s="18">
        <v>0.18</v>
      </c>
      <c r="J41" s="18">
        <v>0.19</v>
      </c>
    </row>
    <row r="42" spans="1:10" x14ac:dyDescent="0.4">
      <c r="A42" s="1"/>
      <c r="B42" s="5" t="s">
        <v>127</v>
      </c>
      <c r="C42" s="12" t="s">
        <v>99</v>
      </c>
      <c r="D42" s="12" t="s">
        <v>95</v>
      </c>
      <c r="E42" s="12" t="s">
        <v>128</v>
      </c>
      <c r="F42" s="18">
        <v>0.09</v>
      </c>
      <c r="G42" s="18">
        <v>8.5000000000000006E-2</v>
      </c>
      <c r="H42" s="18">
        <v>0.08</v>
      </c>
      <c r="I42" s="18">
        <v>7.4999999999999997E-2</v>
      </c>
      <c r="J42" s="18">
        <v>7.0000000000000007E-2</v>
      </c>
    </row>
    <row r="43" spans="1:10" x14ac:dyDescent="0.4">
      <c r="A43" s="1"/>
      <c r="B43" s="5" t="s">
        <v>129</v>
      </c>
      <c r="C43" s="12" t="s">
        <v>99</v>
      </c>
      <c r="D43" s="12" t="s">
        <v>95</v>
      </c>
      <c r="E43" s="12" t="s">
        <v>130</v>
      </c>
      <c r="F43" s="18">
        <v>7.0000000000000007E-2</v>
      </c>
      <c r="G43" s="18">
        <v>6.5000000000000002E-2</v>
      </c>
      <c r="H43" s="18">
        <v>0.06</v>
      </c>
      <c r="I43" s="18">
        <v>5.5E-2</v>
      </c>
      <c r="J43" s="18">
        <v>0.05</v>
      </c>
    </row>
    <row r="44" spans="1:10" x14ac:dyDescent="0.4">
      <c r="A44" s="1"/>
      <c r="B44" s="5" t="s">
        <v>131</v>
      </c>
      <c r="C44" s="12" t="s">
        <v>99</v>
      </c>
      <c r="D44" s="12" t="s">
        <v>95</v>
      </c>
      <c r="E44" s="12" t="s">
        <v>132</v>
      </c>
      <c r="F44" s="18">
        <v>3.2000000000000001E-2</v>
      </c>
      <c r="G44" s="18">
        <v>0.12</v>
      </c>
      <c r="H44" s="18">
        <v>0.12</v>
      </c>
      <c r="I44" s="18">
        <v>0.12</v>
      </c>
      <c r="J44" s="18">
        <v>0.12</v>
      </c>
    </row>
    <row r="45" spans="1:10" x14ac:dyDescent="0.4">
      <c r="A45" s="1"/>
      <c r="B45" s="5" t="s">
        <v>133</v>
      </c>
      <c r="C45" s="12" t="s">
        <v>117</v>
      </c>
      <c r="D45" s="12" t="s">
        <v>95</v>
      </c>
      <c r="E45" s="12" t="s">
        <v>134</v>
      </c>
      <c r="F45" s="17">
        <v>7000</v>
      </c>
      <c r="G45" s="17">
        <v>22000</v>
      </c>
      <c r="H45" s="17">
        <v>24000</v>
      </c>
      <c r="I45" s="17">
        <v>22000</v>
      </c>
      <c r="J45" s="17">
        <v>20000</v>
      </c>
    </row>
    <row r="46" spans="1:10" x14ac:dyDescent="0.4">
      <c r="A46" s="1"/>
      <c r="B46" s="5" t="s">
        <v>135</v>
      </c>
      <c r="C46" s="12" t="s">
        <v>136</v>
      </c>
      <c r="D46" s="12" t="s">
        <v>95</v>
      </c>
      <c r="E46" s="12" t="s">
        <v>137</v>
      </c>
      <c r="F46" s="17">
        <v>15</v>
      </c>
      <c r="G46" s="17">
        <v>15</v>
      </c>
      <c r="H46" s="17">
        <v>15</v>
      </c>
      <c r="I46" s="17">
        <v>15</v>
      </c>
      <c r="J46" s="17">
        <v>15</v>
      </c>
    </row>
    <row r="47" spans="1:10" x14ac:dyDescent="0.4">
      <c r="A47" s="1"/>
      <c r="B47" s="5" t="s">
        <v>138</v>
      </c>
      <c r="C47" s="12" t="s">
        <v>136</v>
      </c>
      <c r="D47" s="12" t="s">
        <v>95</v>
      </c>
      <c r="E47" s="12" t="s">
        <v>139</v>
      </c>
      <c r="F47" s="17">
        <v>55</v>
      </c>
      <c r="G47" s="17">
        <v>55</v>
      </c>
      <c r="H47" s="17">
        <v>55</v>
      </c>
      <c r="I47" s="17">
        <v>55</v>
      </c>
      <c r="J47" s="17">
        <v>55</v>
      </c>
    </row>
    <row r="48" spans="1:10" x14ac:dyDescent="0.4">
      <c r="A48" s="1"/>
      <c r="B48" s="5" t="s">
        <v>140</v>
      </c>
      <c r="C48" s="12" t="s">
        <v>136</v>
      </c>
      <c r="D48" s="12" t="s">
        <v>95</v>
      </c>
      <c r="E48" s="12" t="s">
        <v>141</v>
      </c>
      <c r="F48" s="17">
        <v>65</v>
      </c>
      <c r="G48" s="17">
        <v>65</v>
      </c>
      <c r="H48" s="17">
        <v>65</v>
      </c>
      <c r="I48" s="17">
        <v>65</v>
      </c>
      <c r="J48" s="17">
        <v>65</v>
      </c>
    </row>
    <row r="49" spans="1:10" x14ac:dyDescent="0.4">
      <c r="A49" s="1"/>
      <c r="B49" s="5" t="s">
        <v>142</v>
      </c>
      <c r="C49" s="12" t="s">
        <v>99</v>
      </c>
      <c r="D49" s="12" t="s">
        <v>95</v>
      </c>
      <c r="E49" s="12" t="s">
        <v>143</v>
      </c>
      <c r="F49" s="18">
        <v>5.5E-2</v>
      </c>
      <c r="G49" s="18">
        <v>5.5E-2</v>
      </c>
      <c r="H49" s="18">
        <v>5.5E-2</v>
      </c>
      <c r="I49" s="18">
        <v>5.5E-2</v>
      </c>
      <c r="J49" s="18">
        <v>5.5E-2</v>
      </c>
    </row>
    <row r="50" spans="1:10" x14ac:dyDescent="0.4">
      <c r="A50" s="1"/>
      <c r="B50" s="5" t="s">
        <v>144</v>
      </c>
      <c r="C50" s="12" t="s">
        <v>99</v>
      </c>
      <c r="D50" s="12" t="s">
        <v>95</v>
      </c>
      <c r="E50" s="12" t="s">
        <v>143</v>
      </c>
      <c r="F50" s="18">
        <v>0.15</v>
      </c>
      <c r="G50" s="18">
        <v>0.15</v>
      </c>
      <c r="H50" s="18">
        <v>0.15</v>
      </c>
      <c r="I50" s="18">
        <v>0.15</v>
      </c>
      <c r="J50" s="18">
        <v>0.15</v>
      </c>
    </row>
    <row r="51" spans="1:10" x14ac:dyDescent="0.4">
      <c r="A51" s="1"/>
      <c r="B51" s="5" t="s">
        <v>145</v>
      </c>
      <c r="C51" s="12" t="s">
        <v>99</v>
      </c>
      <c r="D51" s="12" t="s">
        <v>95</v>
      </c>
      <c r="E51" s="12" t="s">
        <v>146</v>
      </c>
      <c r="F51" s="18">
        <v>0.08</v>
      </c>
      <c r="G51" s="18">
        <v>0.08</v>
      </c>
      <c r="H51" s="18">
        <v>0.08</v>
      </c>
      <c r="I51" s="18">
        <v>0.08</v>
      </c>
      <c r="J51" s="18">
        <v>0.08</v>
      </c>
    </row>
    <row r="52" spans="1:10" x14ac:dyDescent="0.4">
      <c r="A52" s="1"/>
      <c r="B52" s="5" t="s">
        <v>147</v>
      </c>
      <c r="C52" s="12" t="s">
        <v>99</v>
      </c>
      <c r="D52" s="12" t="s">
        <v>95</v>
      </c>
      <c r="E52" s="12" t="s">
        <v>148</v>
      </c>
      <c r="F52" s="18">
        <v>0.13</v>
      </c>
      <c r="G52" s="18">
        <v>0.13</v>
      </c>
      <c r="H52" s="18">
        <v>0.13</v>
      </c>
      <c r="I52" s="18">
        <v>0.13</v>
      </c>
      <c r="J52" s="18">
        <v>0.13</v>
      </c>
    </row>
    <row r="53" spans="1:10" x14ac:dyDescent="0.4">
      <c r="A53" s="1"/>
      <c r="B53" s="5" t="s">
        <v>149</v>
      </c>
      <c r="C53" s="12" t="s">
        <v>99</v>
      </c>
      <c r="D53" s="12" t="s">
        <v>95</v>
      </c>
      <c r="E53" s="12" t="s">
        <v>150</v>
      </c>
      <c r="F53" s="18">
        <v>0.04</v>
      </c>
      <c r="G53" s="18">
        <v>0.04</v>
      </c>
      <c r="H53" s="18">
        <v>3.7999999999999999E-2</v>
      </c>
      <c r="I53" s="18">
        <v>3.5000000000000003E-2</v>
      </c>
      <c r="J53" s="18">
        <v>0.03</v>
      </c>
    </row>
    <row r="54" spans="1:10" x14ac:dyDescent="0.4">
      <c r="A54" s="1"/>
      <c r="B54" s="5" t="s">
        <v>151</v>
      </c>
      <c r="C54" s="12" t="s">
        <v>99</v>
      </c>
      <c r="D54" s="12" t="s">
        <v>95</v>
      </c>
      <c r="E54" s="12" t="s">
        <v>152</v>
      </c>
      <c r="F54" s="18">
        <v>0.21</v>
      </c>
      <c r="G54" s="18">
        <v>0.21</v>
      </c>
      <c r="H54" s="18">
        <v>0.21</v>
      </c>
      <c r="I54" s="18">
        <v>0.21</v>
      </c>
      <c r="J54" s="18">
        <v>0.21</v>
      </c>
    </row>
    <row r="55" spans="1:10" x14ac:dyDescent="0.4">
      <c r="A55" s="1"/>
      <c r="B55" s="5" t="s">
        <v>153</v>
      </c>
      <c r="C55" s="12" t="s">
        <v>99</v>
      </c>
      <c r="D55" s="12" t="s">
        <v>95</v>
      </c>
      <c r="E55" s="12" t="s">
        <v>154</v>
      </c>
      <c r="F55" s="18">
        <v>0.01</v>
      </c>
      <c r="G55" s="18">
        <v>0.04</v>
      </c>
      <c r="H55" s="18">
        <v>0.04</v>
      </c>
      <c r="I55" s="18">
        <v>0.04</v>
      </c>
      <c r="J55" s="18">
        <v>0.04</v>
      </c>
    </row>
    <row r="56" spans="1:10" x14ac:dyDescent="0.4">
      <c r="A56" s="1"/>
      <c r="B56" s="5" t="s">
        <v>155</v>
      </c>
      <c r="C56" s="12" t="s">
        <v>99</v>
      </c>
      <c r="D56" s="12" t="s">
        <v>95</v>
      </c>
      <c r="E56" s="12" t="s">
        <v>156</v>
      </c>
      <c r="F56" s="18">
        <v>0.01</v>
      </c>
      <c r="G56" s="18">
        <v>0.04</v>
      </c>
      <c r="H56" s="18">
        <v>0.04</v>
      </c>
      <c r="I56" s="18">
        <v>0.04</v>
      </c>
      <c r="J56" s="18">
        <v>0.04</v>
      </c>
    </row>
    <row r="57" spans="1:10" x14ac:dyDescent="0.4">
      <c r="A57" s="1"/>
      <c r="B57" s="5" t="s">
        <v>157</v>
      </c>
      <c r="C57" s="12" t="s">
        <v>117</v>
      </c>
      <c r="D57" s="12" t="s">
        <v>95</v>
      </c>
      <c r="E57" s="12" t="s">
        <v>158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</row>
    <row r="58" spans="1:10" x14ac:dyDescent="0.4">
      <c r="A58" s="1"/>
      <c r="B58" s="5" t="s">
        <v>159</v>
      </c>
      <c r="C58" s="12" t="s">
        <v>99</v>
      </c>
      <c r="D58" s="12" t="s">
        <v>95</v>
      </c>
      <c r="E58" s="12" t="s">
        <v>160</v>
      </c>
      <c r="F58" s="18">
        <v>1.4999999999999999E-2</v>
      </c>
      <c r="G58" s="18">
        <v>1.4999999999999999E-2</v>
      </c>
      <c r="H58" s="18">
        <v>1.4999999999999999E-2</v>
      </c>
      <c r="I58" s="18">
        <v>1.4999999999999999E-2</v>
      </c>
      <c r="J58" s="18">
        <v>1.4999999999999999E-2</v>
      </c>
    </row>
    <row r="59" spans="1:10" x14ac:dyDescent="0.4">
      <c r="A59" s="1"/>
      <c r="B59" s="5" t="s">
        <v>161</v>
      </c>
      <c r="C59" s="12" t="s">
        <v>99</v>
      </c>
      <c r="D59" s="12" t="s">
        <v>95</v>
      </c>
      <c r="E59" s="12" t="s">
        <v>162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</row>
    <row r="60" spans="1:10" x14ac:dyDescent="0.4">
      <c r="A60" s="1"/>
      <c r="B60" s="5" t="s">
        <v>10</v>
      </c>
      <c r="C60" s="12" t="s">
        <v>99</v>
      </c>
      <c r="D60" s="12" t="s">
        <v>95</v>
      </c>
      <c r="E60" s="12" t="s">
        <v>163</v>
      </c>
      <c r="F60" s="18">
        <v>2.5000000000000001E-2</v>
      </c>
      <c r="G60" s="18">
        <v>2.5000000000000001E-2</v>
      </c>
      <c r="H60" s="18">
        <v>2.5000000000000001E-2</v>
      </c>
      <c r="I60" s="18">
        <v>2.5000000000000001E-2</v>
      </c>
      <c r="J60" s="18">
        <v>2.5000000000000001E-2</v>
      </c>
    </row>
    <row r="61" spans="1:10" x14ac:dyDescent="0.4">
      <c r="A61" s="1"/>
      <c r="B61" s="5" t="s">
        <v>164</v>
      </c>
      <c r="C61" s="12" t="s">
        <v>99</v>
      </c>
      <c r="D61" s="12" t="s">
        <v>95</v>
      </c>
      <c r="E61" s="12" t="s">
        <v>165</v>
      </c>
      <c r="F61" s="18">
        <v>0.2</v>
      </c>
      <c r="G61" s="18">
        <v>0.2</v>
      </c>
      <c r="H61" s="18">
        <v>0.2</v>
      </c>
      <c r="I61" s="18">
        <v>0.2</v>
      </c>
      <c r="J61" s="18">
        <v>0.2</v>
      </c>
    </row>
    <row r="62" spans="1:10" x14ac:dyDescent="0.4">
      <c r="A62" s="1"/>
      <c r="B62" s="5" t="s">
        <v>166</v>
      </c>
      <c r="C62" s="12" t="s">
        <v>167</v>
      </c>
      <c r="D62" s="12" t="s">
        <v>95</v>
      </c>
      <c r="E62" s="12" t="s">
        <v>168</v>
      </c>
      <c r="F62" s="24">
        <v>12</v>
      </c>
      <c r="G62" s="24">
        <v>12</v>
      </c>
      <c r="H62" s="24">
        <v>12</v>
      </c>
      <c r="I62" s="24">
        <v>12</v>
      </c>
      <c r="J62" s="24">
        <v>12</v>
      </c>
    </row>
    <row r="63" spans="1:10" x14ac:dyDescent="0.4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4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4">
      <c r="A66" s="1"/>
      <c r="B66" s="4" t="s">
        <v>169</v>
      </c>
      <c r="C66" s="4"/>
      <c r="D66" s="4"/>
      <c r="E66" s="4"/>
      <c r="F66" s="4"/>
      <c r="G66" s="4"/>
      <c r="H66" s="4"/>
      <c r="I66" s="4"/>
      <c r="J66" s="4"/>
    </row>
    <row r="67" spans="1:10" x14ac:dyDescent="0.4">
      <c r="A67" s="1"/>
      <c r="B67" s="11" t="s">
        <v>89</v>
      </c>
      <c r="C67" s="11" t="s">
        <v>90</v>
      </c>
      <c r="D67" s="11" t="s">
        <v>91</v>
      </c>
      <c r="E67" s="11" t="s">
        <v>92</v>
      </c>
      <c r="F67" s="11" t="s">
        <v>22</v>
      </c>
      <c r="G67" s="11" t="s">
        <v>24</v>
      </c>
      <c r="H67" s="11" t="s">
        <v>25</v>
      </c>
      <c r="I67" s="11" t="s">
        <v>26</v>
      </c>
      <c r="J67" s="11" t="s">
        <v>27</v>
      </c>
    </row>
    <row r="68" spans="1:10" x14ac:dyDescent="0.4">
      <c r="A68" s="1"/>
      <c r="B68" s="5" t="s">
        <v>93</v>
      </c>
      <c r="C68" s="12" t="s">
        <v>94</v>
      </c>
      <c r="D68" s="12" t="s">
        <v>95</v>
      </c>
      <c r="E68" s="12" t="s">
        <v>96</v>
      </c>
      <c r="F68" s="22">
        <v>550000</v>
      </c>
      <c r="G68" s="23" t="s">
        <v>97</v>
      </c>
      <c r="H68" s="23" t="s">
        <v>97</v>
      </c>
      <c r="I68" s="23" t="s">
        <v>97</v>
      </c>
      <c r="J68" s="23" t="s">
        <v>97</v>
      </c>
    </row>
    <row r="69" spans="1:10" x14ac:dyDescent="0.4">
      <c r="A69" s="1"/>
      <c r="B69" s="5" t="s">
        <v>98</v>
      </c>
      <c r="C69" s="12" t="s">
        <v>99</v>
      </c>
      <c r="D69" s="12" t="s">
        <v>95</v>
      </c>
      <c r="E69" s="12" t="s">
        <v>100</v>
      </c>
      <c r="F69" s="23" t="s">
        <v>97</v>
      </c>
      <c r="G69" s="18">
        <v>0.25</v>
      </c>
      <c r="H69" s="18">
        <v>0.22</v>
      </c>
      <c r="I69" s="18">
        <v>0.2</v>
      </c>
      <c r="J69" s="18">
        <v>0.18</v>
      </c>
    </row>
    <row r="70" spans="1:10" x14ac:dyDescent="0.4">
      <c r="A70" s="1"/>
      <c r="B70" s="5" t="s">
        <v>101</v>
      </c>
      <c r="C70" s="12" t="s">
        <v>102</v>
      </c>
      <c r="D70" s="12" t="s">
        <v>95</v>
      </c>
      <c r="E70" s="12" t="s">
        <v>103</v>
      </c>
      <c r="F70" s="16">
        <v>43000</v>
      </c>
      <c r="G70" s="23" t="s">
        <v>97</v>
      </c>
      <c r="H70" s="23" t="s">
        <v>97</v>
      </c>
      <c r="I70" s="23" t="s">
        <v>97</v>
      </c>
      <c r="J70" s="23" t="s">
        <v>97</v>
      </c>
    </row>
    <row r="71" spans="1:10" x14ac:dyDescent="0.4">
      <c r="A71" s="1"/>
      <c r="B71" s="5" t="s">
        <v>104</v>
      </c>
      <c r="C71" s="12" t="s">
        <v>99</v>
      </c>
      <c r="D71" s="12" t="s">
        <v>95</v>
      </c>
      <c r="E71" s="12" t="s">
        <v>105</v>
      </c>
      <c r="F71" s="23" t="s">
        <v>97</v>
      </c>
      <c r="G71" s="18">
        <v>0.02</v>
      </c>
      <c r="H71" s="18">
        <v>0.02</v>
      </c>
      <c r="I71" s="18">
        <v>0.02</v>
      </c>
      <c r="J71" s="18">
        <v>0.02</v>
      </c>
    </row>
    <row r="72" spans="1:10" x14ac:dyDescent="0.4">
      <c r="A72" s="1"/>
      <c r="B72" s="5" t="s">
        <v>106</v>
      </c>
      <c r="C72" s="12" t="s">
        <v>107</v>
      </c>
      <c r="D72" s="12" t="s">
        <v>95</v>
      </c>
      <c r="E72" s="12" t="s">
        <v>108</v>
      </c>
      <c r="F72" s="16">
        <v>17</v>
      </c>
      <c r="G72" s="23" t="s">
        <v>97</v>
      </c>
      <c r="H72" s="23" t="s">
        <v>97</v>
      </c>
      <c r="I72" s="23" t="s">
        <v>97</v>
      </c>
      <c r="J72" s="23" t="s">
        <v>97</v>
      </c>
    </row>
    <row r="73" spans="1:10" x14ac:dyDescent="0.4">
      <c r="A73" s="1"/>
      <c r="B73" s="5" t="s">
        <v>109</v>
      </c>
      <c r="C73" s="12" t="s">
        <v>99</v>
      </c>
      <c r="D73" s="12" t="s">
        <v>95</v>
      </c>
      <c r="E73" s="12" t="s">
        <v>110</v>
      </c>
      <c r="F73" s="23" t="s">
        <v>97</v>
      </c>
      <c r="G73" s="18">
        <v>0.45</v>
      </c>
      <c r="H73" s="18">
        <v>0.4</v>
      </c>
      <c r="I73" s="18">
        <v>0.35</v>
      </c>
      <c r="J73" s="18">
        <v>0.3</v>
      </c>
    </row>
    <row r="74" spans="1:10" x14ac:dyDescent="0.4">
      <c r="A74" s="1"/>
      <c r="B74" s="5" t="s">
        <v>111</v>
      </c>
      <c r="C74" s="12" t="s">
        <v>112</v>
      </c>
      <c r="D74" s="12" t="s">
        <v>95</v>
      </c>
      <c r="E74" s="12" t="s">
        <v>113</v>
      </c>
      <c r="F74" s="16">
        <v>240</v>
      </c>
      <c r="G74" s="23" t="s">
        <v>97</v>
      </c>
      <c r="H74" s="23" t="s">
        <v>97</v>
      </c>
      <c r="I74" s="23" t="s">
        <v>97</v>
      </c>
      <c r="J74" s="23" t="s">
        <v>97</v>
      </c>
    </row>
    <row r="75" spans="1:10" x14ac:dyDescent="0.4">
      <c r="A75" s="1"/>
      <c r="B75" s="5" t="s">
        <v>114</v>
      </c>
      <c r="C75" s="12" t="s">
        <v>99</v>
      </c>
      <c r="D75" s="12" t="s">
        <v>95</v>
      </c>
      <c r="E75" s="12" t="s">
        <v>115</v>
      </c>
      <c r="F75" s="23" t="s">
        <v>97</v>
      </c>
      <c r="G75" s="18">
        <v>0</v>
      </c>
      <c r="H75" s="18">
        <v>0</v>
      </c>
      <c r="I75" s="18">
        <v>0</v>
      </c>
      <c r="J75" s="18">
        <v>0</v>
      </c>
    </row>
    <row r="76" spans="1:10" x14ac:dyDescent="0.4">
      <c r="A76" s="1"/>
      <c r="B76" s="5" t="s">
        <v>116</v>
      </c>
      <c r="C76" s="12" t="s">
        <v>117</v>
      </c>
      <c r="D76" s="12" t="s">
        <v>95</v>
      </c>
      <c r="E76" s="12" t="s">
        <v>118</v>
      </c>
      <c r="F76" s="17">
        <v>5000</v>
      </c>
      <c r="G76" s="23" t="s">
        <v>97</v>
      </c>
      <c r="H76" s="23" t="s">
        <v>97</v>
      </c>
      <c r="I76" s="23" t="s">
        <v>97</v>
      </c>
      <c r="J76" s="23" t="s">
        <v>97</v>
      </c>
    </row>
    <row r="77" spans="1:10" x14ac:dyDescent="0.4">
      <c r="A77" s="1"/>
      <c r="B77" s="5" t="s">
        <v>119</v>
      </c>
      <c r="C77" s="12" t="s">
        <v>99</v>
      </c>
      <c r="D77" s="12" t="s">
        <v>95</v>
      </c>
      <c r="E77" s="12" t="s">
        <v>120</v>
      </c>
      <c r="F77" s="23" t="s">
        <v>97</v>
      </c>
      <c r="G77" s="18">
        <v>0.35</v>
      </c>
      <c r="H77" s="18">
        <v>0.32</v>
      </c>
      <c r="I77" s="18">
        <v>0.3</v>
      </c>
      <c r="J77" s="18">
        <v>0.28000000000000003</v>
      </c>
    </row>
    <row r="78" spans="1:10" x14ac:dyDescent="0.4">
      <c r="A78" s="1"/>
      <c r="B78" s="5" t="s">
        <v>121</v>
      </c>
      <c r="C78" s="12" t="s">
        <v>99</v>
      </c>
      <c r="D78" s="12" t="s">
        <v>95</v>
      </c>
      <c r="E78" s="12" t="s">
        <v>122</v>
      </c>
      <c r="F78" s="18">
        <v>0.2</v>
      </c>
      <c r="G78" s="18">
        <v>0.21</v>
      </c>
      <c r="H78" s="18">
        <v>0.22</v>
      </c>
      <c r="I78" s="18">
        <v>0.23</v>
      </c>
      <c r="J78" s="18">
        <v>0.24</v>
      </c>
    </row>
    <row r="79" spans="1:10" x14ac:dyDescent="0.4">
      <c r="A79" s="1"/>
      <c r="B79" s="5" t="s">
        <v>123</v>
      </c>
      <c r="C79" s="12" t="s">
        <v>99</v>
      </c>
      <c r="D79" s="12" t="s">
        <v>95</v>
      </c>
      <c r="E79" s="12" t="s">
        <v>124</v>
      </c>
      <c r="F79" s="18">
        <v>0.3</v>
      </c>
      <c r="G79" s="18">
        <v>0.31</v>
      </c>
      <c r="H79" s="18">
        <v>0.32</v>
      </c>
      <c r="I79" s="18">
        <v>0.32500000000000001</v>
      </c>
      <c r="J79" s="18">
        <v>0.33</v>
      </c>
    </row>
    <row r="80" spans="1:10" x14ac:dyDescent="0.4">
      <c r="A80" s="1"/>
      <c r="B80" s="5" t="s">
        <v>125</v>
      </c>
      <c r="C80" s="12" t="s">
        <v>99</v>
      </c>
      <c r="D80" s="12" t="s">
        <v>95</v>
      </c>
      <c r="E80" s="12" t="s">
        <v>126</v>
      </c>
      <c r="F80" s="18">
        <v>0.18</v>
      </c>
      <c r="G80" s="18">
        <v>0.2</v>
      </c>
      <c r="H80" s="18">
        <v>0.21</v>
      </c>
      <c r="I80" s="18">
        <v>0.22</v>
      </c>
      <c r="J80" s="18">
        <v>0.23</v>
      </c>
    </row>
    <row r="81" spans="1:10" x14ac:dyDescent="0.4">
      <c r="A81" s="1"/>
      <c r="B81" s="5" t="s">
        <v>127</v>
      </c>
      <c r="C81" s="12" t="s">
        <v>99</v>
      </c>
      <c r="D81" s="12" t="s">
        <v>95</v>
      </c>
      <c r="E81" s="12" t="s">
        <v>128</v>
      </c>
      <c r="F81" s="18">
        <v>8.5000000000000006E-2</v>
      </c>
      <c r="G81" s="18">
        <v>0.08</v>
      </c>
      <c r="H81" s="18">
        <v>7.0000000000000007E-2</v>
      </c>
      <c r="I81" s="18">
        <v>6.5000000000000002E-2</v>
      </c>
      <c r="J81" s="18">
        <v>0.06</v>
      </c>
    </row>
    <row r="82" spans="1:10" x14ac:dyDescent="0.4">
      <c r="A82" s="1"/>
      <c r="B82" s="5" t="s">
        <v>129</v>
      </c>
      <c r="C82" s="12" t="s">
        <v>99</v>
      </c>
      <c r="D82" s="12" t="s">
        <v>95</v>
      </c>
      <c r="E82" s="12" t="s">
        <v>130</v>
      </c>
      <c r="F82" s="18">
        <v>6.5000000000000002E-2</v>
      </c>
      <c r="G82" s="18">
        <v>5.5E-2</v>
      </c>
      <c r="H82" s="18">
        <v>0.05</v>
      </c>
      <c r="I82" s="18">
        <v>4.4999999999999998E-2</v>
      </c>
      <c r="J82" s="18">
        <v>0.04</v>
      </c>
    </row>
    <row r="83" spans="1:10" x14ac:dyDescent="0.4">
      <c r="A83" s="1"/>
      <c r="B83" s="5" t="s">
        <v>131</v>
      </c>
      <c r="C83" s="12" t="s">
        <v>99</v>
      </c>
      <c r="D83" s="12" t="s">
        <v>95</v>
      </c>
      <c r="E83" s="12" t="s">
        <v>132</v>
      </c>
      <c r="F83" s="18">
        <v>3.2000000000000001E-2</v>
      </c>
      <c r="G83" s="18">
        <v>0.12</v>
      </c>
      <c r="H83" s="18">
        <v>0.12</v>
      </c>
      <c r="I83" s="18">
        <v>0.12</v>
      </c>
      <c r="J83" s="18">
        <v>0.12</v>
      </c>
    </row>
    <row r="84" spans="1:10" x14ac:dyDescent="0.4">
      <c r="A84" s="1"/>
      <c r="B84" s="5" t="s">
        <v>133</v>
      </c>
      <c r="C84" s="12" t="s">
        <v>117</v>
      </c>
      <c r="D84" s="12" t="s">
        <v>95</v>
      </c>
      <c r="E84" s="12" t="s">
        <v>134</v>
      </c>
      <c r="F84" s="17">
        <v>7000</v>
      </c>
      <c r="G84" s="17">
        <v>25000</v>
      </c>
      <c r="H84" s="17">
        <v>30000</v>
      </c>
      <c r="I84" s="17">
        <v>32000</v>
      </c>
      <c r="J84" s="17">
        <v>30000</v>
      </c>
    </row>
    <row r="85" spans="1:10" x14ac:dyDescent="0.4">
      <c r="A85" s="1"/>
      <c r="B85" s="5" t="s">
        <v>135</v>
      </c>
      <c r="C85" s="12" t="s">
        <v>136</v>
      </c>
      <c r="D85" s="12" t="s">
        <v>95</v>
      </c>
      <c r="E85" s="12" t="s">
        <v>137</v>
      </c>
      <c r="F85" s="17">
        <v>14</v>
      </c>
      <c r="G85" s="17">
        <v>14</v>
      </c>
      <c r="H85" s="17">
        <v>14</v>
      </c>
      <c r="I85" s="17">
        <v>14</v>
      </c>
      <c r="J85" s="17">
        <v>14</v>
      </c>
    </row>
    <row r="86" spans="1:10" x14ac:dyDescent="0.4">
      <c r="A86" s="1"/>
      <c r="B86" s="5" t="s">
        <v>138</v>
      </c>
      <c r="C86" s="12" t="s">
        <v>136</v>
      </c>
      <c r="D86" s="12" t="s">
        <v>95</v>
      </c>
      <c r="E86" s="12" t="s">
        <v>139</v>
      </c>
      <c r="F86" s="17">
        <v>50</v>
      </c>
      <c r="G86" s="17">
        <v>50</v>
      </c>
      <c r="H86" s="17">
        <v>50</v>
      </c>
      <c r="I86" s="17">
        <v>50</v>
      </c>
      <c r="J86" s="17">
        <v>50</v>
      </c>
    </row>
    <row r="87" spans="1:10" x14ac:dyDescent="0.4">
      <c r="A87" s="1"/>
      <c r="B87" s="5" t="s">
        <v>140</v>
      </c>
      <c r="C87" s="12" t="s">
        <v>136</v>
      </c>
      <c r="D87" s="12" t="s">
        <v>95</v>
      </c>
      <c r="E87" s="12" t="s">
        <v>141</v>
      </c>
      <c r="F87" s="17">
        <v>70</v>
      </c>
      <c r="G87" s="17">
        <v>70</v>
      </c>
      <c r="H87" s="17">
        <v>70</v>
      </c>
      <c r="I87" s="17">
        <v>70</v>
      </c>
      <c r="J87" s="17">
        <v>70</v>
      </c>
    </row>
    <row r="88" spans="1:10" x14ac:dyDescent="0.4">
      <c r="A88" s="1"/>
      <c r="B88" s="5" t="s">
        <v>142</v>
      </c>
      <c r="C88" s="12" t="s">
        <v>99</v>
      </c>
      <c r="D88" s="12" t="s">
        <v>95</v>
      </c>
      <c r="E88" s="12" t="s">
        <v>143</v>
      </c>
      <c r="F88" s="18">
        <v>0.05</v>
      </c>
      <c r="G88" s="18">
        <v>0.05</v>
      </c>
      <c r="H88" s="18">
        <v>0.05</v>
      </c>
      <c r="I88" s="18">
        <v>0.05</v>
      </c>
      <c r="J88" s="18">
        <v>0.05</v>
      </c>
    </row>
    <row r="89" spans="1:10" x14ac:dyDescent="0.4">
      <c r="A89" s="1"/>
      <c r="B89" s="5" t="s">
        <v>144</v>
      </c>
      <c r="C89" s="12" t="s">
        <v>99</v>
      </c>
      <c r="D89" s="12" t="s">
        <v>95</v>
      </c>
      <c r="E89" s="12" t="s">
        <v>143</v>
      </c>
      <c r="F89" s="18">
        <v>0.15</v>
      </c>
      <c r="G89" s="18">
        <v>0.15</v>
      </c>
      <c r="H89" s="18">
        <v>0.15</v>
      </c>
      <c r="I89" s="18">
        <v>0.15</v>
      </c>
      <c r="J89" s="18">
        <v>0.15</v>
      </c>
    </row>
    <row r="90" spans="1:10" x14ac:dyDescent="0.4">
      <c r="A90" s="1"/>
      <c r="B90" s="5" t="s">
        <v>145</v>
      </c>
      <c r="C90" s="12" t="s">
        <v>99</v>
      </c>
      <c r="D90" s="12" t="s">
        <v>95</v>
      </c>
      <c r="E90" s="12" t="s">
        <v>146</v>
      </c>
      <c r="F90" s="18">
        <v>0.09</v>
      </c>
      <c r="G90" s="18">
        <v>0.09</v>
      </c>
      <c r="H90" s="18">
        <v>0.09</v>
      </c>
      <c r="I90" s="18">
        <v>0.09</v>
      </c>
      <c r="J90" s="18">
        <v>0.09</v>
      </c>
    </row>
    <row r="91" spans="1:10" x14ac:dyDescent="0.4">
      <c r="A91" s="1"/>
      <c r="B91" s="5" t="s">
        <v>147</v>
      </c>
      <c r="C91" s="12" t="s">
        <v>99</v>
      </c>
      <c r="D91" s="12" t="s">
        <v>95</v>
      </c>
      <c r="E91" s="12" t="s">
        <v>148</v>
      </c>
      <c r="F91" s="18">
        <v>0.13</v>
      </c>
      <c r="G91" s="18">
        <v>0.13</v>
      </c>
      <c r="H91" s="18">
        <v>0.13</v>
      </c>
      <c r="I91" s="18">
        <v>0.13</v>
      </c>
      <c r="J91" s="18">
        <v>0.13</v>
      </c>
    </row>
    <row r="92" spans="1:10" x14ac:dyDescent="0.4">
      <c r="A92" s="1"/>
      <c r="B92" s="5" t="s">
        <v>149</v>
      </c>
      <c r="C92" s="12" t="s">
        <v>99</v>
      </c>
      <c r="D92" s="12" t="s">
        <v>95</v>
      </c>
      <c r="E92" s="12" t="s">
        <v>150</v>
      </c>
      <c r="F92" s="18">
        <v>0.04</v>
      </c>
      <c r="G92" s="18">
        <v>3.5000000000000003E-2</v>
      </c>
      <c r="H92" s="18">
        <v>0.03</v>
      </c>
      <c r="I92" s="18">
        <v>2.5000000000000001E-2</v>
      </c>
      <c r="J92" s="18">
        <v>0.02</v>
      </c>
    </row>
    <row r="93" spans="1:10" x14ac:dyDescent="0.4">
      <c r="A93" s="1"/>
      <c r="B93" s="5" t="s">
        <v>151</v>
      </c>
      <c r="C93" s="12" t="s">
        <v>99</v>
      </c>
      <c r="D93" s="12" t="s">
        <v>95</v>
      </c>
      <c r="E93" s="12" t="s">
        <v>152</v>
      </c>
      <c r="F93" s="18">
        <v>0.2</v>
      </c>
      <c r="G93" s="18">
        <v>0.2</v>
      </c>
      <c r="H93" s="18">
        <v>0.2</v>
      </c>
      <c r="I93" s="18">
        <v>0.2</v>
      </c>
      <c r="J93" s="18">
        <v>0.2</v>
      </c>
    </row>
    <row r="94" spans="1:10" x14ac:dyDescent="0.4">
      <c r="A94" s="1"/>
      <c r="B94" s="5" t="s">
        <v>153</v>
      </c>
      <c r="C94" s="12" t="s">
        <v>99</v>
      </c>
      <c r="D94" s="12" t="s">
        <v>95</v>
      </c>
      <c r="E94" s="12" t="s">
        <v>154</v>
      </c>
      <c r="F94" s="18">
        <v>0.01</v>
      </c>
      <c r="G94" s="18">
        <v>0.04</v>
      </c>
      <c r="H94" s="18">
        <v>0.04</v>
      </c>
      <c r="I94" s="18">
        <v>0.04</v>
      </c>
      <c r="J94" s="18">
        <v>0.04</v>
      </c>
    </row>
    <row r="95" spans="1:10" x14ac:dyDescent="0.4">
      <c r="A95" s="1"/>
      <c r="B95" s="5" t="s">
        <v>155</v>
      </c>
      <c r="C95" s="12" t="s">
        <v>99</v>
      </c>
      <c r="D95" s="12" t="s">
        <v>95</v>
      </c>
      <c r="E95" s="12" t="s">
        <v>156</v>
      </c>
      <c r="F95" s="18">
        <v>0.01</v>
      </c>
      <c r="G95" s="18">
        <v>0.04</v>
      </c>
      <c r="H95" s="18">
        <v>0.04</v>
      </c>
      <c r="I95" s="18">
        <v>0.04</v>
      </c>
      <c r="J95" s="18">
        <v>0.04</v>
      </c>
    </row>
    <row r="96" spans="1:10" x14ac:dyDescent="0.4">
      <c r="A96" s="1"/>
      <c r="B96" s="5" t="s">
        <v>157</v>
      </c>
      <c r="C96" s="12" t="s">
        <v>117</v>
      </c>
      <c r="D96" s="12" t="s">
        <v>95</v>
      </c>
      <c r="E96" s="12" t="s">
        <v>158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</row>
    <row r="97" spans="1:10" x14ac:dyDescent="0.4">
      <c r="A97" s="1"/>
      <c r="B97" s="5" t="s">
        <v>159</v>
      </c>
      <c r="C97" s="12" t="s">
        <v>99</v>
      </c>
      <c r="D97" s="12" t="s">
        <v>95</v>
      </c>
      <c r="E97" s="12" t="s">
        <v>160</v>
      </c>
      <c r="F97" s="18">
        <v>1.4999999999999999E-2</v>
      </c>
      <c r="G97" s="18">
        <v>1.4999999999999999E-2</v>
      </c>
      <c r="H97" s="18">
        <v>1.4999999999999999E-2</v>
      </c>
      <c r="I97" s="18">
        <v>1.4999999999999999E-2</v>
      </c>
      <c r="J97" s="18">
        <v>1.4999999999999999E-2</v>
      </c>
    </row>
    <row r="98" spans="1:10" x14ac:dyDescent="0.4">
      <c r="A98" s="1"/>
      <c r="B98" s="5" t="s">
        <v>161</v>
      </c>
      <c r="C98" s="12" t="s">
        <v>99</v>
      </c>
      <c r="D98" s="12" t="s">
        <v>95</v>
      </c>
      <c r="E98" s="12" t="s">
        <v>162</v>
      </c>
      <c r="F98" s="18">
        <v>-0.01</v>
      </c>
      <c r="G98" s="18">
        <v>-0.01</v>
      </c>
      <c r="H98" s="18">
        <v>-0.01</v>
      </c>
      <c r="I98" s="18">
        <v>-0.01</v>
      </c>
      <c r="J98" s="18">
        <v>-0.01</v>
      </c>
    </row>
    <row r="99" spans="1:10" x14ac:dyDescent="0.4">
      <c r="A99" s="1"/>
      <c r="B99" s="5" t="s">
        <v>10</v>
      </c>
      <c r="C99" s="12" t="s">
        <v>99</v>
      </c>
      <c r="D99" s="12" t="s">
        <v>95</v>
      </c>
      <c r="E99" s="12" t="s">
        <v>163</v>
      </c>
      <c r="F99" s="18">
        <v>0.03</v>
      </c>
      <c r="G99" s="18">
        <v>0.03</v>
      </c>
      <c r="H99" s="18">
        <v>0.03</v>
      </c>
      <c r="I99" s="18">
        <v>0.03</v>
      </c>
      <c r="J99" s="18">
        <v>0.03</v>
      </c>
    </row>
    <row r="100" spans="1:10" x14ac:dyDescent="0.4">
      <c r="A100" s="1"/>
      <c r="B100" s="5" t="s">
        <v>164</v>
      </c>
      <c r="C100" s="12" t="s">
        <v>99</v>
      </c>
      <c r="D100" s="12" t="s">
        <v>95</v>
      </c>
      <c r="E100" s="12" t="s">
        <v>165</v>
      </c>
      <c r="F100" s="18">
        <v>0.2</v>
      </c>
      <c r="G100" s="18">
        <v>0.2</v>
      </c>
      <c r="H100" s="18">
        <v>0.2</v>
      </c>
      <c r="I100" s="18">
        <v>0.2</v>
      </c>
      <c r="J100" s="18">
        <v>0.2</v>
      </c>
    </row>
    <row r="101" spans="1:10" x14ac:dyDescent="0.4">
      <c r="A101" s="1"/>
      <c r="B101" s="5" t="s">
        <v>166</v>
      </c>
      <c r="C101" s="12" t="s">
        <v>167</v>
      </c>
      <c r="D101" s="12" t="s">
        <v>95</v>
      </c>
      <c r="E101" s="12" t="s">
        <v>168</v>
      </c>
      <c r="F101" s="24">
        <v>14</v>
      </c>
      <c r="G101" s="24">
        <v>14</v>
      </c>
      <c r="H101" s="24">
        <v>14</v>
      </c>
      <c r="I101" s="24">
        <v>14</v>
      </c>
      <c r="J101" s="24">
        <v>14</v>
      </c>
    </row>
    <row r="102" spans="1:10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4">
      <c r="A105" s="1"/>
      <c r="B105" s="4" t="s">
        <v>170</v>
      </c>
      <c r="C105" s="4"/>
      <c r="D105" s="4"/>
      <c r="E105" s="4"/>
      <c r="F105" s="4"/>
      <c r="G105" s="4"/>
      <c r="H105" s="4"/>
      <c r="I105" s="4"/>
      <c r="J105" s="4"/>
    </row>
    <row r="106" spans="1:10" x14ac:dyDescent="0.4">
      <c r="A106" s="1"/>
      <c r="B106" s="11" t="s">
        <v>89</v>
      </c>
      <c r="C106" s="11" t="s">
        <v>90</v>
      </c>
      <c r="D106" s="11" t="s">
        <v>91</v>
      </c>
      <c r="E106" s="11" t="s">
        <v>92</v>
      </c>
      <c r="F106" s="11" t="s">
        <v>22</v>
      </c>
      <c r="G106" s="11" t="s">
        <v>24</v>
      </c>
      <c r="H106" s="11" t="s">
        <v>25</v>
      </c>
      <c r="I106" s="11" t="s">
        <v>26</v>
      </c>
      <c r="J106" s="11" t="s">
        <v>27</v>
      </c>
    </row>
    <row r="107" spans="1:10" x14ac:dyDescent="0.4">
      <c r="A107" s="1"/>
      <c r="B107" s="5" t="s">
        <v>93</v>
      </c>
      <c r="C107" s="12" t="s">
        <v>94</v>
      </c>
      <c r="D107" s="12" t="s">
        <v>95</v>
      </c>
      <c r="E107" s="12" t="s">
        <v>96</v>
      </c>
      <c r="F107" s="22">
        <v>470000</v>
      </c>
      <c r="G107" s="23" t="s">
        <v>97</v>
      </c>
      <c r="H107" s="23" t="s">
        <v>97</v>
      </c>
      <c r="I107" s="23" t="s">
        <v>97</v>
      </c>
      <c r="J107" s="23" t="s">
        <v>97</v>
      </c>
    </row>
    <row r="108" spans="1:10" x14ac:dyDescent="0.4">
      <c r="A108" s="1"/>
      <c r="B108" s="5" t="s">
        <v>98</v>
      </c>
      <c r="C108" s="12" t="s">
        <v>99</v>
      </c>
      <c r="D108" s="12" t="s">
        <v>95</v>
      </c>
      <c r="E108" s="12" t="s">
        <v>100</v>
      </c>
      <c r="F108" s="23" t="s">
        <v>97</v>
      </c>
      <c r="G108" s="18">
        <v>0.05</v>
      </c>
      <c r="H108" s="18">
        <v>0.03</v>
      </c>
      <c r="I108" s="18">
        <v>0.02</v>
      </c>
      <c r="J108" s="18">
        <v>0.02</v>
      </c>
    </row>
    <row r="109" spans="1:10" x14ac:dyDescent="0.4">
      <c r="A109" s="1"/>
      <c r="B109" s="5" t="s">
        <v>101</v>
      </c>
      <c r="C109" s="12" t="s">
        <v>102</v>
      </c>
      <c r="D109" s="12" t="s">
        <v>95</v>
      </c>
      <c r="E109" s="12" t="s">
        <v>103</v>
      </c>
      <c r="F109" s="16">
        <v>41000</v>
      </c>
      <c r="G109" s="23" t="s">
        <v>97</v>
      </c>
      <c r="H109" s="23" t="s">
        <v>97</v>
      </c>
      <c r="I109" s="23" t="s">
        <v>97</v>
      </c>
      <c r="J109" s="23" t="s">
        <v>97</v>
      </c>
    </row>
    <row r="110" spans="1:10" x14ac:dyDescent="0.4">
      <c r="A110" s="1"/>
      <c r="B110" s="5" t="s">
        <v>104</v>
      </c>
      <c r="C110" s="12" t="s">
        <v>99</v>
      </c>
      <c r="D110" s="12" t="s">
        <v>95</v>
      </c>
      <c r="E110" s="12" t="s">
        <v>105</v>
      </c>
      <c r="F110" s="23" t="s">
        <v>97</v>
      </c>
      <c r="G110" s="18">
        <v>-0.03</v>
      </c>
      <c r="H110" s="18">
        <v>-0.02</v>
      </c>
      <c r="I110" s="18">
        <v>0</v>
      </c>
      <c r="J110" s="18">
        <v>0</v>
      </c>
    </row>
    <row r="111" spans="1:10" x14ac:dyDescent="0.4">
      <c r="A111" s="1"/>
      <c r="B111" s="5" t="s">
        <v>106</v>
      </c>
      <c r="C111" s="12" t="s">
        <v>107</v>
      </c>
      <c r="D111" s="12" t="s">
        <v>95</v>
      </c>
      <c r="E111" s="12" t="s">
        <v>108</v>
      </c>
      <c r="F111" s="16">
        <v>13</v>
      </c>
      <c r="G111" s="23" t="s">
        <v>97</v>
      </c>
      <c r="H111" s="23" t="s">
        <v>97</v>
      </c>
      <c r="I111" s="23" t="s">
        <v>97</v>
      </c>
      <c r="J111" s="23" t="s">
        <v>97</v>
      </c>
    </row>
    <row r="112" spans="1:10" x14ac:dyDescent="0.4">
      <c r="A112" s="1"/>
      <c r="B112" s="5" t="s">
        <v>109</v>
      </c>
      <c r="C112" s="12" t="s">
        <v>99</v>
      </c>
      <c r="D112" s="12" t="s">
        <v>95</v>
      </c>
      <c r="E112" s="12" t="s">
        <v>110</v>
      </c>
      <c r="F112" s="23" t="s">
        <v>97</v>
      </c>
      <c r="G112" s="18">
        <v>0.15</v>
      </c>
      <c r="H112" s="18">
        <v>0.1</v>
      </c>
      <c r="I112" s="18">
        <v>0.08</v>
      </c>
      <c r="J112" s="18">
        <v>0.05</v>
      </c>
    </row>
    <row r="113" spans="1:10" x14ac:dyDescent="0.4">
      <c r="A113" s="1"/>
      <c r="B113" s="5" t="s">
        <v>111</v>
      </c>
      <c r="C113" s="12" t="s">
        <v>112</v>
      </c>
      <c r="D113" s="12" t="s">
        <v>95</v>
      </c>
      <c r="E113" s="12" t="s">
        <v>113</v>
      </c>
      <c r="F113" s="16">
        <v>220</v>
      </c>
      <c r="G113" s="23" t="s">
        <v>97</v>
      </c>
      <c r="H113" s="23" t="s">
        <v>97</v>
      </c>
      <c r="I113" s="23" t="s">
        <v>97</v>
      </c>
      <c r="J113" s="23" t="s">
        <v>97</v>
      </c>
    </row>
    <row r="114" spans="1:10" x14ac:dyDescent="0.4">
      <c r="A114" s="1"/>
      <c r="B114" s="5" t="s">
        <v>114</v>
      </c>
      <c r="C114" s="12" t="s">
        <v>99</v>
      </c>
      <c r="D114" s="12" t="s">
        <v>95</v>
      </c>
      <c r="E114" s="12" t="s">
        <v>115</v>
      </c>
      <c r="F114" s="23" t="s">
        <v>97</v>
      </c>
      <c r="G114" s="18">
        <v>-0.05</v>
      </c>
      <c r="H114" s="18">
        <v>-0.05</v>
      </c>
      <c r="I114" s="18">
        <v>-0.05</v>
      </c>
      <c r="J114" s="18">
        <v>-0.05</v>
      </c>
    </row>
    <row r="115" spans="1:10" x14ac:dyDescent="0.4">
      <c r="A115" s="1"/>
      <c r="B115" s="5" t="s">
        <v>116</v>
      </c>
      <c r="C115" s="12" t="s">
        <v>117</v>
      </c>
      <c r="D115" s="12" t="s">
        <v>95</v>
      </c>
      <c r="E115" s="12" t="s">
        <v>118</v>
      </c>
      <c r="F115" s="17">
        <v>4600</v>
      </c>
      <c r="G115" s="23" t="s">
        <v>97</v>
      </c>
      <c r="H115" s="23" t="s">
        <v>97</v>
      </c>
      <c r="I115" s="23" t="s">
        <v>97</v>
      </c>
      <c r="J115" s="23" t="s">
        <v>97</v>
      </c>
    </row>
    <row r="116" spans="1:10" x14ac:dyDescent="0.4">
      <c r="A116" s="1"/>
      <c r="B116" s="5" t="s">
        <v>119</v>
      </c>
      <c r="C116" s="12" t="s">
        <v>99</v>
      </c>
      <c r="D116" s="12" t="s">
        <v>95</v>
      </c>
      <c r="E116" s="12" t="s">
        <v>120</v>
      </c>
      <c r="F116" s="23" t="s">
        <v>97</v>
      </c>
      <c r="G116" s="18">
        <v>0.12</v>
      </c>
      <c r="H116" s="18">
        <v>0.1</v>
      </c>
      <c r="I116" s="18">
        <v>0.08</v>
      </c>
      <c r="J116" s="18">
        <v>0.08</v>
      </c>
    </row>
    <row r="117" spans="1:10" x14ac:dyDescent="0.4">
      <c r="A117" s="1"/>
      <c r="B117" s="5" t="s">
        <v>121</v>
      </c>
      <c r="C117" s="12" t="s">
        <v>99</v>
      </c>
      <c r="D117" s="12" t="s">
        <v>95</v>
      </c>
      <c r="E117" s="12" t="s">
        <v>122</v>
      </c>
      <c r="F117" s="18">
        <v>0.16500000000000001</v>
      </c>
      <c r="G117" s="18">
        <v>0.16500000000000001</v>
      </c>
      <c r="H117" s="18">
        <v>0.17</v>
      </c>
      <c r="I117" s="18">
        <v>0.17499999999999999</v>
      </c>
      <c r="J117" s="18">
        <v>0.18</v>
      </c>
    </row>
    <row r="118" spans="1:10" x14ac:dyDescent="0.4">
      <c r="A118" s="1"/>
      <c r="B118" s="5" t="s">
        <v>123</v>
      </c>
      <c r="C118" s="12" t="s">
        <v>99</v>
      </c>
      <c r="D118" s="12" t="s">
        <v>95</v>
      </c>
      <c r="E118" s="12" t="s">
        <v>124</v>
      </c>
      <c r="F118" s="18">
        <v>0.24</v>
      </c>
      <c r="G118" s="18">
        <v>0.245</v>
      </c>
      <c r="H118" s="18">
        <v>0.25</v>
      </c>
      <c r="I118" s="18">
        <v>0.255</v>
      </c>
      <c r="J118" s="18">
        <v>0.26</v>
      </c>
    </row>
    <row r="119" spans="1:10" x14ac:dyDescent="0.4">
      <c r="A119" s="1"/>
      <c r="B119" s="5" t="s">
        <v>125</v>
      </c>
      <c r="C119" s="12" t="s">
        <v>99</v>
      </c>
      <c r="D119" s="12" t="s">
        <v>95</v>
      </c>
      <c r="E119" s="12" t="s">
        <v>126</v>
      </c>
      <c r="F119" s="18">
        <v>0.14000000000000001</v>
      </c>
      <c r="G119" s="18">
        <v>0.14499999999999999</v>
      </c>
      <c r="H119" s="18">
        <v>0.15</v>
      </c>
      <c r="I119" s="18">
        <v>0.155</v>
      </c>
      <c r="J119" s="18">
        <v>0.16</v>
      </c>
    </row>
    <row r="120" spans="1:10" x14ac:dyDescent="0.4">
      <c r="A120" s="1"/>
      <c r="B120" s="5" t="s">
        <v>127</v>
      </c>
      <c r="C120" s="12" t="s">
        <v>99</v>
      </c>
      <c r="D120" s="12" t="s">
        <v>95</v>
      </c>
      <c r="E120" s="12" t="s">
        <v>128</v>
      </c>
      <c r="F120" s="18">
        <v>0.1</v>
      </c>
      <c r="G120" s="18">
        <v>9.5000000000000001E-2</v>
      </c>
      <c r="H120" s="18">
        <v>8.5000000000000006E-2</v>
      </c>
      <c r="I120" s="18">
        <v>0.08</v>
      </c>
      <c r="J120" s="18">
        <v>7.4999999999999997E-2</v>
      </c>
    </row>
    <row r="121" spans="1:10" x14ac:dyDescent="0.4">
      <c r="A121" s="1"/>
      <c r="B121" s="5" t="s">
        <v>129</v>
      </c>
      <c r="C121" s="12" t="s">
        <v>99</v>
      </c>
      <c r="D121" s="12" t="s">
        <v>95</v>
      </c>
      <c r="E121" s="12" t="s">
        <v>130</v>
      </c>
      <c r="F121" s="18">
        <v>0.08</v>
      </c>
      <c r="G121" s="18">
        <v>7.4999999999999997E-2</v>
      </c>
      <c r="H121" s="18">
        <v>7.0000000000000007E-2</v>
      </c>
      <c r="I121" s="18">
        <v>6.5000000000000002E-2</v>
      </c>
      <c r="J121" s="18">
        <v>0.06</v>
      </c>
    </row>
    <row r="122" spans="1:10" x14ac:dyDescent="0.4">
      <c r="A122" s="1"/>
      <c r="B122" s="5" t="s">
        <v>131</v>
      </c>
      <c r="C122" s="12" t="s">
        <v>99</v>
      </c>
      <c r="D122" s="12" t="s">
        <v>95</v>
      </c>
      <c r="E122" s="12" t="s">
        <v>132</v>
      </c>
      <c r="F122" s="18">
        <v>3.2000000000000001E-2</v>
      </c>
      <c r="G122" s="18">
        <v>0.12</v>
      </c>
      <c r="H122" s="18">
        <v>0.12</v>
      </c>
      <c r="I122" s="18">
        <v>0.12</v>
      </c>
      <c r="J122" s="18">
        <v>0.12</v>
      </c>
    </row>
    <row r="123" spans="1:10" x14ac:dyDescent="0.4">
      <c r="A123" s="1"/>
      <c r="B123" s="5" t="s">
        <v>133</v>
      </c>
      <c r="C123" s="12" t="s">
        <v>117</v>
      </c>
      <c r="D123" s="12" t="s">
        <v>95</v>
      </c>
      <c r="E123" s="12" t="s">
        <v>134</v>
      </c>
      <c r="F123" s="17">
        <v>7000</v>
      </c>
      <c r="G123" s="17">
        <v>16000</v>
      </c>
      <c r="H123" s="17">
        <v>12000</v>
      </c>
      <c r="I123" s="17">
        <v>8000</v>
      </c>
      <c r="J123" s="17">
        <v>6000</v>
      </c>
    </row>
    <row r="124" spans="1:10" x14ac:dyDescent="0.4">
      <c r="A124" s="1"/>
      <c r="B124" s="5" t="s">
        <v>135</v>
      </c>
      <c r="C124" s="12" t="s">
        <v>136</v>
      </c>
      <c r="D124" s="12" t="s">
        <v>95</v>
      </c>
      <c r="E124" s="12" t="s">
        <v>137</v>
      </c>
      <c r="F124" s="17">
        <v>18</v>
      </c>
      <c r="G124" s="17">
        <v>18</v>
      </c>
      <c r="H124" s="17">
        <v>18</v>
      </c>
      <c r="I124" s="17">
        <v>18</v>
      </c>
      <c r="J124" s="17">
        <v>18</v>
      </c>
    </row>
    <row r="125" spans="1:10" x14ac:dyDescent="0.4">
      <c r="A125" s="1"/>
      <c r="B125" s="5" t="s">
        <v>138</v>
      </c>
      <c r="C125" s="12" t="s">
        <v>136</v>
      </c>
      <c r="D125" s="12" t="s">
        <v>95</v>
      </c>
      <c r="E125" s="12" t="s">
        <v>139</v>
      </c>
      <c r="F125" s="17">
        <v>65</v>
      </c>
      <c r="G125" s="17">
        <v>65</v>
      </c>
      <c r="H125" s="17">
        <v>65</v>
      </c>
      <c r="I125" s="17">
        <v>65</v>
      </c>
      <c r="J125" s="17">
        <v>65</v>
      </c>
    </row>
    <row r="126" spans="1:10" x14ac:dyDescent="0.4">
      <c r="A126" s="1"/>
      <c r="B126" s="5" t="s">
        <v>140</v>
      </c>
      <c r="C126" s="12" t="s">
        <v>136</v>
      </c>
      <c r="D126" s="12" t="s">
        <v>95</v>
      </c>
      <c r="E126" s="12" t="s">
        <v>141</v>
      </c>
      <c r="F126" s="17">
        <v>60</v>
      </c>
      <c r="G126" s="17">
        <v>60</v>
      </c>
      <c r="H126" s="17">
        <v>60</v>
      </c>
      <c r="I126" s="17">
        <v>60</v>
      </c>
      <c r="J126" s="17">
        <v>60</v>
      </c>
    </row>
    <row r="127" spans="1:10" x14ac:dyDescent="0.4">
      <c r="A127" s="1"/>
      <c r="B127" s="5" t="s">
        <v>142</v>
      </c>
      <c r="C127" s="12" t="s">
        <v>99</v>
      </c>
      <c r="D127" s="12" t="s">
        <v>95</v>
      </c>
      <c r="E127" s="12" t="s">
        <v>143</v>
      </c>
      <c r="F127" s="18">
        <v>0.06</v>
      </c>
      <c r="G127" s="18">
        <v>0.06</v>
      </c>
      <c r="H127" s="18">
        <v>0.06</v>
      </c>
      <c r="I127" s="18">
        <v>0.06</v>
      </c>
      <c r="J127" s="18">
        <v>0.06</v>
      </c>
    </row>
    <row r="128" spans="1:10" x14ac:dyDescent="0.4">
      <c r="A128" s="1"/>
      <c r="B128" s="5" t="s">
        <v>144</v>
      </c>
      <c r="C128" s="12" t="s">
        <v>99</v>
      </c>
      <c r="D128" s="12" t="s">
        <v>95</v>
      </c>
      <c r="E128" s="12" t="s">
        <v>143</v>
      </c>
      <c r="F128" s="18">
        <v>0.15</v>
      </c>
      <c r="G128" s="18">
        <v>0.15</v>
      </c>
      <c r="H128" s="18">
        <v>0.15</v>
      </c>
      <c r="I128" s="18">
        <v>0.15</v>
      </c>
      <c r="J128" s="18">
        <v>0.15</v>
      </c>
    </row>
    <row r="129" spans="1:10" x14ac:dyDescent="0.4">
      <c r="A129" s="1"/>
      <c r="B129" s="5" t="s">
        <v>145</v>
      </c>
      <c r="C129" s="12" t="s">
        <v>99</v>
      </c>
      <c r="D129" s="12" t="s">
        <v>95</v>
      </c>
      <c r="E129" s="12" t="s">
        <v>146</v>
      </c>
      <c r="F129" s="18">
        <v>7.0000000000000007E-2</v>
      </c>
      <c r="G129" s="18">
        <v>7.0000000000000007E-2</v>
      </c>
      <c r="H129" s="18">
        <v>7.0000000000000007E-2</v>
      </c>
      <c r="I129" s="18">
        <v>7.0000000000000007E-2</v>
      </c>
      <c r="J129" s="18">
        <v>7.0000000000000007E-2</v>
      </c>
    </row>
    <row r="130" spans="1:10" x14ac:dyDescent="0.4">
      <c r="A130" s="1"/>
      <c r="B130" s="5" t="s">
        <v>147</v>
      </c>
      <c r="C130" s="12" t="s">
        <v>99</v>
      </c>
      <c r="D130" s="12" t="s">
        <v>95</v>
      </c>
      <c r="E130" s="12" t="s">
        <v>148</v>
      </c>
      <c r="F130" s="18">
        <v>0.13</v>
      </c>
      <c r="G130" s="18">
        <v>0.13</v>
      </c>
      <c r="H130" s="18">
        <v>0.13</v>
      </c>
      <c r="I130" s="18">
        <v>0.13</v>
      </c>
      <c r="J130" s="18">
        <v>0.13</v>
      </c>
    </row>
    <row r="131" spans="1:10" x14ac:dyDescent="0.4">
      <c r="A131" s="1"/>
      <c r="B131" s="5" t="s">
        <v>149</v>
      </c>
      <c r="C131" s="12" t="s">
        <v>99</v>
      </c>
      <c r="D131" s="12" t="s">
        <v>95</v>
      </c>
      <c r="E131" s="12" t="s">
        <v>150</v>
      </c>
      <c r="F131" s="18">
        <v>4.4999999999999998E-2</v>
      </c>
      <c r="G131" s="18">
        <v>4.4999999999999998E-2</v>
      </c>
      <c r="H131" s="18">
        <v>0.04</v>
      </c>
      <c r="I131" s="18">
        <v>0.04</v>
      </c>
      <c r="J131" s="18">
        <v>3.5000000000000003E-2</v>
      </c>
    </row>
    <row r="132" spans="1:10" x14ac:dyDescent="0.4">
      <c r="A132" s="1"/>
      <c r="B132" s="5" t="s">
        <v>151</v>
      </c>
      <c r="C132" s="12" t="s">
        <v>99</v>
      </c>
      <c r="D132" s="12" t="s">
        <v>95</v>
      </c>
      <c r="E132" s="12" t="s">
        <v>152</v>
      </c>
      <c r="F132" s="18">
        <v>0.23</v>
      </c>
      <c r="G132" s="18">
        <v>0.23</v>
      </c>
      <c r="H132" s="18">
        <v>0.23</v>
      </c>
      <c r="I132" s="18">
        <v>0.23</v>
      </c>
      <c r="J132" s="18">
        <v>0.23</v>
      </c>
    </row>
    <row r="133" spans="1:10" x14ac:dyDescent="0.4">
      <c r="A133" s="1"/>
      <c r="B133" s="5" t="s">
        <v>153</v>
      </c>
      <c r="C133" s="12" t="s">
        <v>99</v>
      </c>
      <c r="D133" s="12" t="s">
        <v>95</v>
      </c>
      <c r="E133" s="12" t="s">
        <v>154</v>
      </c>
      <c r="F133" s="18">
        <v>0.01</v>
      </c>
      <c r="G133" s="18">
        <v>0.04</v>
      </c>
      <c r="H133" s="18">
        <v>0.04</v>
      </c>
      <c r="I133" s="18">
        <v>0.04</v>
      </c>
      <c r="J133" s="18">
        <v>0.04</v>
      </c>
    </row>
    <row r="134" spans="1:10" x14ac:dyDescent="0.4">
      <c r="A134" s="1"/>
      <c r="B134" s="5" t="s">
        <v>155</v>
      </c>
      <c r="C134" s="12" t="s">
        <v>99</v>
      </c>
      <c r="D134" s="12" t="s">
        <v>95</v>
      </c>
      <c r="E134" s="12" t="s">
        <v>156</v>
      </c>
      <c r="F134" s="18">
        <v>0.01</v>
      </c>
      <c r="G134" s="18">
        <v>0.04</v>
      </c>
      <c r="H134" s="18">
        <v>0.04</v>
      </c>
      <c r="I134" s="18">
        <v>0.04</v>
      </c>
      <c r="J134" s="18">
        <v>0.04</v>
      </c>
    </row>
    <row r="135" spans="1:10" x14ac:dyDescent="0.4">
      <c r="A135" s="1"/>
      <c r="B135" s="5" t="s">
        <v>157</v>
      </c>
      <c r="C135" s="12" t="s">
        <v>117</v>
      </c>
      <c r="D135" s="12" t="s">
        <v>95</v>
      </c>
      <c r="E135" s="12" t="s">
        <v>158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</row>
    <row r="136" spans="1:10" x14ac:dyDescent="0.4">
      <c r="A136" s="1"/>
      <c r="B136" s="5" t="s">
        <v>159</v>
      </c>
      <c r="C136" s="12" t="s">
        <v>99</v>
      </c>
      <c r="D136" s="12" t="s">
        <v>95</v>
      </c>
      <c r="E136" s="12" t="s">
        <v>160</v>
      </c>
      <c r="F136" s="18">
        <v>1.4999999999999999E-2</v>
      </c>
      <c r="G136" s="18">
        <v>1.4999999999999999E-2</v>
      </c>
      <c r="H136" s="18">
        <v>1.4999999999999999E-2</v>
      </c>
      <c r="I136" s="18">
        <v>1.4999999999999999E-2</v>
      </c>
      <c r="J136" s="18">
        <v>1.4999999999999999E-2</v>
      </c>
    </row>
    <row r="137" spans="1:10" x14ac:dyDescent="0.4">
      <c r="A137" s="1"/>
      <c r="B137" s="5" t="s">
        <v>161</v>
      </c>
      <c r="C137" s="12" t="s">
        <v>99</v>
      </c>
      <c r="D137" s="12" t="s">
        <v>95</v>
      </c>
      <c r="E137" s="12" t="s">
        <v>162</v>
      </c>
      <c r="F137" s="18">
        <v>0.01</v>
      </c>
      <c r="G137" s="18">
        <v>0.01</v>
      </c>
      <c r="H137" s="18">
        <v>0.01</v>
      </c>
      <c r="I137" s="18">
        <v>0.01</v>
      </c>
      <c r="J137" s="18">
        <v>0.01</v>
      </c>
    </row>
    <row r="138" spans="1:10" x14ac:dyDescent="0.4">
      <c r="A138" s="1"/>
      <c r="B138" s="5" t="s">
        <v>10</v>
      </c>
      <c r="C138" s="12" t="s">
        <v>99</v>
      </c>
      <c r="D138" s="12" t="s">
        <v>95</v>
      </c>
      <c r="E138" s="12" t="s">
        <v>163</v>
      </c>
      <c r="F138" s="18">
        <v>0.02</v>
      </c>
      <c r="G138" s="18">
        <v>0.02</v>
      </c>
      <c r="H138" s="18">
        <v>0.02</v>
      </c>
      <c r="I138" s="18">
        <v>0.02</v>
      </c>
      <c r="J138" s="18">
        <v>0.02</v>
      </c>
    </row>
    <row r="139" spans="1:10" x14ac:dyDescent="0.4">
      <c r="A139" s="1"/>
      <c r="B139" s="5" t="s">
        <v>164</v>
      </c>
      <c r="C139" s="12" t="s">
        <v>99</v>
      </c>
      <c r="D139" s="12" t="s">
        <v>95</v>
      </c>
      <c r="E139" s="12" t="s">
        <v>165</v>
      </c>
      <c r="F139" s="18">
        <v>0.25</v>
      </c>
      <c r="G139" s="18">
        <v>0.25</v>
      </c>
      <c r="H139" s="18">
        <v>0.25</v>
      </c>
      <c r="I139" s="18">
        <v>0.25</v>
      </c>
      <c r="J139" s="18">
        <v>0.25</v>
      </c>
    </row>
    <row r="140" spans="1:10" x14ac:dyDescent="0.4">
      <c r="A140" s="1"/>
      <c r="B140" s="5" t="s">
        <v>166</v>
      </c>
      <c r="C140" s="12" t="s">
        <v>167</v>
      </c>
      <c r="D140" s="12" t="s">
        <v>95</v>
      </c>
      <c r="E140" s="12" t="s">
        <v>168</v>
      </c>
      <c r="F140" s="24">
        <v>10</v>
      </c>
      <c r="G140" s="24">
        <v>10</v>
      </c>
      <c r="H140" s="24">
        <v>10</v>
      </c>
      <c r="I140" s="24">
        <v>10</v>
      </c>
      <c r="J140" s="24">
        <v>10</v>
      </c>
    </row>
    <row r="141" spans="1:10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</row>
  </sheetData>
  <mergeCells count="2">
    <mergeCell ref="B5:J5"/>
    <mergeCell ref="B2:K2"/>
  </mergeCells>
  <phoneticPr fontId="17" type="noConversion"/>
  <dataValidations count="1">
    <dataValidation type="list" sqref="C4" xr:uid="{00000000-0002-0000-0100-000000000000}">
      <formula1>"Base,Bull,Bear"</formula1>
    </dataValidation>
  </dataValidations>
  <printOptions horizontalCentered="1"/>
  <pageMargins left="0.75" right="0.75" top="1" bottom="1" header="0.5" footer="0.5"/>
  <pageSetup fitToHeight="0"/>
  <headerFooter>
    <oddFooter>&amp;CTesla model | &amp;D | 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5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171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172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">
      <c r="A4" s="1"/>
      <c r="B4" s="1" t="s">
        <v>2</v>
      </c>
      <c r="C4" s="25" t="str">
        <f>Assumptions!C4</f>
        <v>Base</v>
      </c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26" t="s">
        <v>173</v>
      </c>
      <c r="C5" s="26" t="s">
        <v>19</v>
      </c>
      <c r="D5" s="26" t="s">
        <v>20</v>
      </c>
      <c r="E5" s="26" t="s">
        <v>21</v>
      </c>
      <c r="F5" s="26" t="s">
        <v>22</v>
      </c>
      <c r="G5" s="26" t="s">
        <v>23</v>
      </c>
      <c r="H5" s="26" t="s">
        <v>24</v>
      </c>
      <c r="I5" s="26" t="s">
        <v>25</v>
      </c>
      <c r="J5" s="26" t="s">
        <v>26</v>
      </c>
      <c r="K5" s="26" t="s">
        <v>27</v>
      </c>
    </row>
    <row r="6" spans="1:11" x14ac:dyDescent="0.4">
      <c r="A6" s="1"/>
      <c r="B6" s="4" t="s">
        <v>174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4">
      <c r="A7" s="1"/>
      <c r="B7" s="5" t="s">
        <v>93</v>
      </c>
      <c r="C7" s="27">
        <v>1789226</v>
      </c>
      <c r="D7" s="27">
        <v>1636129</v>
      </c>
      <c r="E7" s="27">
        <v>1324681</v>
      </c>
      <c r="F7" s="28">
        <f>CHOOSE(MATCH(Assumptions!$C$4,{"Base","Bull","Bear"},0),Assumptions!F29,Assumptions!F68,Assumptions!F107)</f>
        <v>520000</v>
      </c>
      <c r="G7" s="28">
        <f>E7+F7</f>
        <v>1844681</v>
      </c>
      <c r="H7" s="21">
        <f>G7*(1+H8)</f>
        <v>2121383.15</v>
      </c>
      <c r="I7" s="29">
        <f>H7*(1+I8)</f>
        <v>2418376.7910000002</v>
      </c>
      <c r="J7" s="21">
        <f>I7*(1+J8)</f>
        <v>2708582.0059200004</v>
      </c>
      <c r="K7" s="5">
        <f>J7*(1+K8)</f>
        <v>2979440.2065120009</v>
      </c>
    </row>
    <row r="8" spans="1:11" x14ac:dyDescent="0.4">
      <c r="A8" s="1"/>
      <c r="B8" s="5" t="s">
        <v>98</v>
      </c>
      <c r="C8" s="1"/>
      <c r="D8" s="21">
        <f>D7/C7-1</f>
        <v>-8.5566049230225816E-2</v>
      </c>
      <c r="E8" s="21">
        <f>E7/D7-1</f>
        <v>-0.19035662835876632</v>
      </c>
      <c r="F8" s="21" t="str">
        <f>CHOOSE(MATCH(Assumptions!$C$4,{"Base","Bull","Bear"},0),Assumptions!F30,Assumptions!F69,Assumptions!F108)</f>
        <v>—</v>
      </c>
      <c r="G8" s="21">
        <f>G7/D7-1</f>
        <v>0.12746672175604745</v>
      </c>
      <c r="H8" s="21">
        <f>CHOOSE(MATCH(Assumptions!$C$4,{"Base","Bull","Bear"},0),Assumptions!G30,Assumptions!G69,Assumptions!G108)</f>
        <v>0.15</v>
      </c>
      <c r="I8" s="21">
        <f>CHOOSE(MATCH(Assumptions!$C$4,{"Base","Bull","Bear"},0),Assumptions!H30,Assumptions!H69,Assumptions!H108)</f>
        <v>0.14000000000000001</v>
      </c>
      <c r="J8" s="21">
        <f>CHOOSE(MATCH(Assumptions!$C$4,{"Base","Bull","Bear"},0),Assumptions!I30,Assumptions!I69,Assumptions!I108)</f>
        <v>0.12</v>
      </c>
      <c r="K8" s="21">
        <f>CHOOSE(MATCH(Assumptions!$C$4,{"Base","Bull","Bear"},0),Assumptions!J30,Assumptions!J69,Assumptions!J108)</f>
        <v>0.1</v>
      </c>
    </row>
    <row r="9" spans="1:11" x14ac:dyDescent="0.4">
      <c r="A9" s="1"/>
      <c r="B9" s="5" t="s">
        <v>101</v>
      </c>
      <c r="C9" s="29">
        <f>C11*1000000/C7</f>
        <v>43074.49142813708</v>
      </c>
      <c r="D9" s="29">
        <f>D11*1000000/D7</f>
        <v>42494.204307851032</v>
      </c>
      <c r="E9" s="29">
        <f>E11*1000000/E7</f>
        <v>43263.24601923029</v>
      </c>
      <c r="F9" s="29">
        <f>CHOOSE(MATCH(Assumptions!$C$4,{"Base","Bull","Bear"},0),Assumptions!F31,Assumptions!F70,Assumptions!F109)</f>
        <v>42000</v>
      </c>
      <c r="G9" s="29">
        <f>G11*1000000/G7</f>
        <v>42907.147631487504</v>
      </c>
      <c r="H9" s="21">
        <f>F9*(1+H10)</f>
        <v>42420</v>
      </c>
      <c r="I9" s="29">
        <f>H9*(1+I10)</f>
        <v>42844.2</v>
      </c>
      <c r="J9" s="21">
        <f>I9*(1+J10)</f>
        <v>43272.642</v>
      </c>
      <c r="K9" s="5">
        <f>J9*(1+K10)</f>
        <v>43705.368419999999</v>
      </c>
    </row>
    <row r="10" spans="1:11" x14ac:dyDescent="0.4">
      <c r="A10" s="1"/>
      <c r="B10" s="5" t="s">
        <v>104</v>
      </c>
      <c r="C10" s="1"/>
      <c r="D10" s="1"/>
      <c r="E10" s="1"/>
      <c r="F10" s="21" t="str">
        <f>CHOOSE(MATCH(Assumptions!$C$4,{"Base","Bull","Bear"},0),Assumptions!F32,Assumptions!F71,Assumptions!F110)</f>
        <v>—</v>
      </c>
      <c r="G10" s="1"/>
      <c r="H10" s="21">
        <f>CHOOSE(MATCH(Assumptions!$C$4,{"Base","Bull","Bear"},0),Assumptions!G32,Assumptions!G71,Assumptions!G110)</f>
        <v>0.01</v>
      </c>
      <c r="I10" s="21">
        <f>CHOOSE(MATCH(Assumptions!$C$4,{"Base","Bull","Bear"},0),Assumptions!H32,Assumptions!H71,Assumptions!H110)</f>
        <v>0.01</v>
      </c>
      <c r="J10" s="21">
        <f>CHOOSE(MATCH(Assumptions!$C$4,{"Base","Bull","Bear"},0),Assumptions!I32,Assumptions!I71,Assumptions!I110)</f>
        <v>0.01</v>
      </c>
      <c r="K10" s="21">
        <f>CHOOSE(MATCH(Assumptions!$C$4,{"Base","Bull","Bear"},0),Assumptions!J32,Assumptions!J71,Assumptions!J110)</f>
        <v>0.01</v>
      </c>
    </row>
    <row r="11" spans="1:11" x14ac:dyDescent="0.4">
      <c r="A11" s="1"/>
      <c r="B11" s="5" t="s">
        <v>175</v>
      </c>
      <c r="C11" s="27">
        <v>77070</v>
      </c>
      <c r="D11" s="27">
        <v>69526</v>
      </c>
      <c r="E11" s="27">
        <v>57310</v>
      </c>
      <c r="F11" s="20">
        <f>F7*F9/1000000</f>
        <v>21840</v>
      </c>
      <c r="G11" s="20">
        <f>E11+F11</f>
        <v>79150</v>
      </c>
      <c r="H11" s="20">
        <f>H7*H9/1000000</f>
        <v>89989.073222999999</v>
      </c>
      <c r="I11" s="20">
        <f>I7*I9/1000000</f>
        <v>103613.41890896221</v>
      </c>
      <c r="J11" s="20">
        <f>J7*J9/1000000</f>
        <v>117207.49946981805</v>
      </c>
      <c r="K11" s="20">
        <f>K7*K9/1000000</f>
        <v>130217.53191096788</v>
      </c>
    </row>
    <row r="12" spans="1:11" x14ac:dyDescent="0.4">
      <c r="A12" s="1"/>
      <c r="B12" s="5" t="s">
        <v>176</v>
      </c>
      <c r="C12" s="27">
        <v>31.4</v>
      </c>
      <c r="D12" s="27">
        <v>46.7</v>
      </c>
      <c r="E12" s="27">
        <v>36</v>
      </c>
      <c r="F12" s="29">
        <f>CHOOSE(MATCH(Assumptions!$C$4,{"Base","Bull","Bear"},0),Assumptions!F33,Assumptions!F72,Assumptions!F111)</f>
        <v>15</v>
      </c>
      <c r="G12" s="29">
        <f>E12+F12</f>
        <v>51</v>
      </c>
      <c r="H12" s="21">
        <f>G12*(1+H13)</f>
        <v>68.850000000000009</v>
      </c>
      <c r="I12" s="29">
        <f>H12*(1+I13)</f>
        <v>89.50500000000001</v>
      </c>
      <c r="J12" s="21">
        <f>I12*(1+J13)</f>
        <v>111.88125000000001</v>
      </c>
      <c r="K12" s="5">
        <f>J12*(1+K13)</f>
        <v>134.25749999999999</v>
      </c>
    </row>
    <row r="13" spans="1:11" x14ac:dyDescent="0.4">
      <c r="A13" s="1"/>
      <c r="B13" s="5" t="s">
        <v>109</v>
      </c>
      <c r="C13" s="1"/>
      <c r="D13" s="21">
        <f>D12/C12-1</f>
        <v>0.48726114649681551</v>
      </c>
      <c r="E13" s="21">
        <f>E12/D12-1</f>
        <v>-0.22912205567451827</v>
      </c>
      <c r="F13" s="21" t="str">
        <f>CHOOSE(MATCH(Assumptions!$C$4,{"Base","Bull","Bear"},0),Assumptions!F34,Assumptions!F73,Assumptions!F112)</f>
        <v>—</v>
      </c>
      <c r="G13" s="21">
        <f>G12/D12-1</f>
        <v>9.2077087794432577E-2</v>
      </c>
      <c r="H13" s="21">
        <f>CHOOSE(MATCH(Assumptions!$C$4,{"Base","Bull","Bear"},0),Assumptions!G34,Assumptions!G73,Assumptions!G112)</f>
        <v>0.35</v>
      </c>
      <c r="I13" s="21">
        <f>CHOOSE(MATCH(Assumptions!$C$4,{"Base","Bull","Bear"},0),Assumptions!H34,Assumptions!H73,Assumptions!H112)</f>
        <v>0.3</v>
      </c>
      <c r="J13" s="21">
        <f>CHOOSE(MATCH(Assumptions!$C$4,{"Base","Bull","Bear"},0),Assumptions!I34,Assumptions!I73,Assumptions!I112)</f>
        <v>0.25</v>
      </c>
      <c r="K13" s="21">
        <f>CHOOSE(MATCH(Assumptions!$C$4,{"Base","Bull","Bear"},0),Assumptions!J34,Assumptions!J73,Assumptions!J112)</f>
        <v>0.2</v>
      </c>
    </row>
    <row r="14" spans="1:11" x14ac:dyDescent="0.4">
      <c r="A14" s="1"/>
      <c r="B14" s="5" t="s">
        <v>111</v>
      </c>
      <c r="C14" s="29">
        <f>C16/C12</f>
        <v>321.21019108280257</v>
      </c>
      <c r="D14" s="29">
        <f>D16/D12</f>
        <v>273.46895074946463</v>
      </c>
      <c r="E14" s="29">
        <f>E16/E12</f>
        <v>234.11111111111111</v>
      </c>
      <c r="F14" s="29">
        <f>CHOOSE(MATCH(Assumptions!$C$4,{"Base","Bull","Bear"},0),Assumptions!F35,Assumptions!F74,Assumptions!F113)</f>
        <v>230</v>
      </c>
      <c r="G14" s="29">
        <f>G16/G12</f>
        <v>232.90196078431373</v>
      </c>
      <c r="H14" s="21">
        <f>F14*(1+H15)</f>
        <v>225.4</v>
      </c>
      <c r="I14" s="29">
        <f>H14*(1+I15)</f>
        <v>220.892</v>
      </c>
      <c r="J14" s="21">
        <f>I14*(1+J15)</f>
        <v>216.47415999999998</v>
      </c>
      <c r="K14" s="5">
        <f>J14*(1+K15)</f>
        <v>212.14467679999998</v>
      </c>
    </row>
    <row r="15" spans="1:11" x14ac:dyDescent="0.4">
      <c r="A15" s="1"/>
      <c r="B15" s="5" t="s">
        <v>114</v>
      </c>
      <c r="C15" s="1"/>
      <c r="D15" s="1"/>
      <c r="E15" s="1"/>
      <c r="F15" s="21" t="str">
        <f>CHOOSE(MATCH(Assumptions!$C$4,{"Base","Bull","Bear"},0),Assumptions!F36,Assumptions!F75,Assumptions!F114)</f>
        <v>—</v>
      </c>
      <c r="G15" s="1"/>
      <c r="H15" s="21">
        <f>CHOOSE(MATCH(Assumptions!$C$4,{"Base","Bull","Bear"},0),Assumptions!G36,Assumptions!G75,Assumptions!G114)</f>
        <v>-0.02</v>
      </c>
      <c r="I15" s="21">
        <f>CHOOSE(MATCH(Assumptions!$C$4,{"Base","Bull","Bear"},0),Assumptions!H36,Assumptions!H75,Assumptions!H114)</f>
        <v>-0.02</v>
      </c>
      <c r="J15" s="21">
        <f>CHOOSE(MATCH(Assumptions!$C$4,{"Base","Bull","Bear"},0),Assumptions!I36,Assumptions!I75,Assumptions!I114)</f>
        <v>-0.02</v>
      </c>
      <c r="K15" s="21">
        <f>CHOOSE(MATCH(Assumptions!$C$4,{"Base","Bull","Bear"},0),Assumptions!J36,Assumptions!J75,Assumptions!J114)</f>
        <v>-0.02</v>
      </c>
    </row>
    <row r="16" spans="1:11" x14ac:dyDescent="0.4">
      <c r="A16" s="1"/>
      <c r="B16" s="5" t="s">
        <v>177</v>
      </c>
      <c r="C16" s="27">
        <v>10086</v>
      </c>
      <c r="D16" s="27">
        <v>12771</v>
      </c>
      <c r="E16" s="27">
        <v>8428</v>
      </c>
      <c r="F16" s="20">
        <f>F12*F14</f>
        <v>3450</v>
      </c>
      <c r="G16" s="20">
        <f>E16+F16</f>
        <v>11878</v>
      </c>
      <c r="H16" s="20">
        <f>H12*H14</f>
        <v>15518.790000000003</v>
      </c>
      <c r="I16" s="20">
        <f>I12*I14</f>
        <v>19770.938460000001</v>
      </c>
      <c r="J16" s="20">
        <f>J12*J14</f>
        <v>24219.399613500002</v>
      </c>
      <c r="K16" s="20">
        <f>K12*K14</f>
        <v>28482.013945475996</v>
      </c>
    </row>
    <row r="17" spans="1:11" x14ac:dyDescent="0.4">
      <c r="A17" s="1"/>
      <c r="B17" s="5" t="s">
        <v>116</v>
      </c>
      <c r="C17" s="27">
        <v>10534</v>
      </c>
      <c r="D17" s="27">
        <v>12530</v>
      </c>
      <c r="E17" s="27">
        <v>12931</v>
      </c>
      <c r="F17" s="20">
        <f>CHOOSE(MATCH(Assumptions!$C$4,{"Base","Bull","Bear"},0),Assumptions!F37,Assumptions!F76,Assumptions!F115)</f>
        <v>4800</v>
      </c>
      <c r="G17" s="20">
        <f>E17+F17</f>
        <v>17731</v>
      </c>
      <c r="H17" s="20">
        <f>G17*(1+H18)</f>
        <v>22163.75</v>
      </c>
      <c r="I17" s="20">
        <f>H17*(1+I18)</f>
        <v>27039.774999999998</v>
      </c>
      <c r="J17" s="20">
        <f>I17*(1+J18)</f>
        <v>32447.729999999996</v>
      </c>
      <c r="K17" s="20">
        <f>J17*(1+K18)</f>
        <v>38288.321399999993</v>
      </c>
    </row>
    <row r="18" spans="1:11" x14ac:dyDescent="0.4">
      <c r="A18" s="1"/>
      <c r="B18" s="5" t="s">
        <v>178</v>
      </c>
      <c r="C18" s="1"/>
      <c r="D18" s="21">
        <f>D17/C17-1</f>
        <v>0.18948167837478636</v>
      </c>
      <c r="E18" s="21">
        <f>E17/D17-1</f>
        <v>3.2003192338387887E-2</v>
      </c>
      <c r="F18" s="21" t="str">
        <f>CHOOSE(MATCH(Assumptions!$C$4,{"Base","Bull","Bear"},0),Assumptions!F38,Assumptions!F77,Assumptions!F116)</f>
        <v>—</v>
      </c>
      <c r="G18" s="21">
        <f>G17/D17-1</f>
        <v>0.41508379888268165</v>
      </c>
      <c r="H18" s="21">
        <f>CHOOSE(MATCH(Assumptions!$C$4,{"Base","Bull","Bear"},0),Assumptions!G38,Assumptions!G77,Assumptions!G116)</f>
        <v>0.25</v>
      </c>
      <c r="I18" s="21">
        <f>CHOOSE(MATCH(Assumptions!$C$4,{"Base","Bull","Bear"},0),Assumptions!H38,Assumptions!H77,Assumptions!H116)</f>
        <v>0.22</v>
      </c>
      <c r="J18" s="21">
        <f>CHOOSE(MATCH(Assumptions!$C$4,{"Base","Bull","Bear"},0),Assumptions!I38,Assumptions!I77,Assumptions!I116)</f>
        <v>0.2</v>
      </c>
      <c r="K18" s="21">
        <f>CHOOSE(MATCH(Assumptions!$C$4,{"Base","Bull","Bear"},0),Assumptions!J38,Assumptions!J77,Assumptions!J116)</f>
        <v>0.18</v>
      </c>
    </row>
    <row r="19" spans="1:11" x14ac:dyDescent="0.4">
      <c r="A19" s="1"/>
      <c r="B19" s="5" t="s">
        <v>179</v>
      </c>
      <c r="C19" s="27">
        <v>97690</v>
      </c>
      <c r="D19" s="27">
        <v>94827</v>
      </c>
      <c r="E19" s="27">
        <v>78669</v>
      </c>
      <c r="F19" s="30">
        <f>F11+F16+F17</f>
        <v>30090</v>
      </c>
      <c r="G19" s="20">
        <f>E19+F19</f>
        <v>108759</v>
      </c>
      <c r="H19" s="30">
        <f>H11+H16+H17</f>
        <v>127671.61322300001</v>
      </c>
      <c r="I19" s="30">
        <f>I11+I16+I17</f>
        <v>150424.13236896222</v>
      </c>
      <c r="J19" s="30">
        <f>J11+J16+J17</f>
        <v>173874.62908331805</v>
      </c>
      <c r="K19" s="30">
        <f>K11+K16+K17</f>
        <v>196987.86725644386</v>
      </c>
    </row>
    <row r="20" spans="1:1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4">
      <c r="A21" s="1"/>
      <c r="B21" s="4" t="s">
        <v>180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4">
      <c r="A22" s="1"/>
      <c r="B22" s="5" t="s">
        <v>121</v>
      </c>
      <c r="C22" s="31">
        <v>0.18420916050343841</v>
      </c>
      <c r="D22" s="31">
        <v>0.17778960388919249</v>
      </c>
      <c r="E22" s="31">
        <v>0.1865468504623975</v>
      </c>
      <c r="F22" s="21">
        <f>CHOOSE(MATCH(Assumptions!$C$4,{"Base","Bull","Bear"},0),Assumptions!F39,Assumptions!F78,Assumptions!F117)</f>
        <v>0.185</v>
      </c>
      <c r="G22" s="21">
        <f>F22</f>
        <v>0.185</v>
      </c>
      <c r="H22" s="21">
        <f>CHOOSE(MATCH(Assumptions!$C$4,{"Base","Bull","Bear"},0),Assumptions!G39,Assumptions!G78,Assumptions!G117)</f>
        <v>0.19</v>
      </c>
      <c r="I22" s="21">
        <f>CHOOSE(MATCH(Assumptions!$C$4,{"Base","Bull","Bear"},0),Assumptions!H39,Assumptions!H78,Assumptions!H117)</f>
        <v>0.19500000000000001</v>
      </c>
      <c r="J22" s="21">
        <f>CHOOSE(MATCH(Assumptions!$C$4,{"Base","Bull","Bear"},0),Assumptions!I39,Assumptions!I78,Assumptions!I117)</f>
        <v>0.2</v>
      </c>
      <c r="K22" s="21">
        <f>CHOOSE(MATCH(Assumptions!$C$4,{"Base","Bull","Bear"},0),Assumptions!J39,Assumptions!J78,Assumptions!J117)</f>
        <v>0.20499999999999999</v>
      </c>
    </row>
    <row r="23" spans="1:11" x14ac:dyDescent="0.4">
      <c r="A23" s="1"/>
      <c r="B23" s="5" t="s">
        <v>123</v>
      </c>
      <c r="C23" s="31">
        <v>0.26174895895300421</v>
      </c>
      <c r="D23" s="31">
        <v>0.29770573956620472</v>
      </c>
      <c r="E23" s="31">
        <v>0.30208827717133369</v>
      </c>
      <c r="F23" s="21">
        <f>CHOOSE(MATCH(Assumptions!$C$4,{"Base","Bull","Bear"},0),Assumptions!F40,Assumptions!F79,Assumptions!F118)</f>
        <v>0.28000000000000003</v>
      </c>
      <c r="G23" s="21">
        <f>F23</f>
        <v>0.28000000000000003</v>
      </c>
      <c r="H23" s="21">
        <f>CHOOSE(MATCH(Assumptions!$C$4,{"Base","Bull","Bear"},0),Assumptions!G40,Assumptions!G79,Assumptions!G118)</f>
        <v>0.28000000000000003</v>
      </c>
      <c r="I23" s="21">
        <f>CHOOSE(MATCH(Assumptions!$C$4,{"Base","Bull","Bear"},0),Assumptions!H40,Assumptions!H79,Assumptions!H118)</f>
        <v>0.28499999999999998</v>
      </c>
      <c r="J23" s="21">
        <f>CHOOSE(MATCH(Assumptions!$C$4,{"Base","Bull","Bear"},0),Assumptions!I40,Assumptions!I79,Assumptions!I118)</f>
        <v>0.28999999999999998</v>
      </c>
      <c r="K23" s="21">
        <f>CHOOSE(MATCH(Assumptions!$C$4,{"Base","Bull","Bear"},0),Assumptions!J40,Assumptions!J79,Assumptions!J118)</f>
        <v>0.29499999999999998</v>
      </c>
    </row>
    <row r="24" spans="1:11" x14ac:dyDescent="0.4">
      <c r="A24" s="1"/>
      <c r="B24" s="5" t="s">
        <v>125</v>
      </c>
      <c r="C24" s="31">
        <v>5.8192519460793617E-2</v>
      </c>
      <c r="D24" s="31">
        <v>7.4301675977653581E-2</v>
      </c>
      <c r="E24" s="31">
        <v>0.1336323563529502</v>
      </c>
      <c r="F24" s="21">
        <f>CHOOSE(MATCH(Assumptions!$C$4,{"Base","Bull","Bear"},0),Assumptions!F41,Assumptions!F80,Assumptions!F119)</f>
        <v>0.16</v>
      </c>
      <c r="G24" s="21">
        <f>F24</f>
        <v>0.16</v>
      </c>
      <c r="H24" s="21">
        <f>CHOOSE(MATCH(Assumptions!$C$4,{"Base","Bull","Bear"},0),Assumptions!G41,Assumptions!G80,Assumptions!G119)</f>
        <v>0.16500000000000001</v>
      </c>
      <c r="I24" s="21">
        <f>CHOOSE(MATCH(Assumptions!$C$4,{"Base","Bull","Bear"},0),Assumptions!H41,Assumptions!H80,Assumptions!H119)</f>
        <v>0.17</v>
      </c>
      <c r="J24" s="21">
        <f>CHOOSE(MATCH(Assumptions!$C$4,{"Base","Bull","Bear"},0),Assumptions!I41,Assumptions!I80,Assumptions!I119)</f>
        <v>0.18</v>
      </c>
      <c r="K24" s="21">
        <f>CHOOSE(MATCH(Assumptions!$C$4,{"Base","Bull","Bear"},0),Assumptions!J41,Assumptions!J80,Assumptions!J119)</f>
        <v>0.19</v>
      </c>
    </row>
    <row r="25" spans="1:11" x14ac:dyDescent="0.4">
      <c r="A25" s="1"/>
      <c r="B25" s="5" t="s">
        <v>127</v>
      </c>
      <c r="C25" s="31">
        <v>4.6473538745009722E-2</v>
      </c>
      <c r="D25" s="31">
        <v>6.7607327027112529E-2</v>
      </c>
      <c r="E25" s="31">
        <v>8.9971907612909782E-2</v>
      </c>
      <c r="F25" s="21">
        <f>CHOOSE(MATCH(Assumptions!$C$4,{"Base","Bull","Bear"},0),Assumptions!F42,Assumptions!F81,Assumptions!F120)</f>
        <v>0.09</v>
      </c>
      <c r="G25" s="21">
        <f>F25</f>
        <v>0.09</v>
      </c>
      <c r="H25" s="21">
        <f>CHOOSE(MATCH(Assumptions!$C$4,{"Base","Bull","Bear"},0),Assumptions!G42,Assumptions!G81,Assumptions!G120)</f>
        <v>8.5000000000000006E-2</v>
      </c>
      <c r="I25" s="21">
        <f>CHOOSE(MATCH(Assumptions!$C$4,{"Base","Bull","Bear"},0),Assumptions!H42,Assumptions!H81,Assumptions!H120)</f>
        <v>0.08</v>
      </c>
      <c r="J25" s="21">
        <f>CHOOSE(MATCH(Assumptions!$C$4,{"Base","Bull","Bear"},0),Assumptions!I42,Assumptions!I81,Assumptions!I120)</f>
        <v>7.4999999999999997E-2</v>
      </c>
      <c r="K25" s="21">
        <f>CHOOSE(MATCH(Assumptions!$C$4,{"Base","Bull","Bear"},0),Assumptions!J42,Assumptions!J81,Assumptions!J120)</f>
        <v>7.0000000000000007E-2</v>
      </c>
    </row>
    <row r="26" spans="1:11" x14ac:dyDescent="0.4">
      <c r="A26" s="1"/>
      <c r="B26" s="5" t="s">
        <v>129</v>
      </c>
      <c r="C26" s="31">
        <v>5.2717780734977987E-2</v>
      </c>
      <c r="D26" s="31">
        <v>6.1522562139475052E-2</v>
      </c>
      <c r="E26" s="31">
        <v>7.4107971373730444E-2</v>
      </c>
      <c r="F26" s="21">
        <f>CHOOSE(MATCH(Assumptions!$C$4,{"Base","Bull","Bear"},0),Assumptions!F43,Assumptions!F82,Assumptions!F121)</f>
        <v>7.0000000000000007E-2</v>
      </c>
      <c r="G26" s="21">
        <f>F26</f>
        <v>7.0000000000000007E-2</v>
      </c>
      <c r="H26" s="21">
        <f>CHOOSE(MATCH(Assumptions!$C$4,{"Base","Bull","Bear"},0),Assumptions!G43,Assumptions!G82,Assumptions!G121)</f>
        <v>6.5000000000000002E-2</v>
      </c>
      <c r="I26" s="21">
        <f>CHOOSE(MATCH(Assumptions!$C$4,{"Base","Bull","Bear"},0),Assumptions!H43,Assumptions!H82,Assumptions!H121)</f>
        <v>0.06</v>
      </c>
      <c r="J26" s="21">
        <f>CHOOSE(MATCH(Assumptions!$C$4,{"Base","Bull","Bear"},0),Assumptions!I43,Assumptions!I82,Assumptions!I121)</f>
        <v>5.5E-2</v>
      </c>
      <c r="K26" s="21">
        <f>CHOOSE(MATCH(Assumptions!$C$4,{"Base","Bull","Bear"},0),Assumptions!J43,Assumptions!J82,Assumptions!J121)</f>
        <v>0.05</v>
      </c>
    </row>
    <row r="27" spans="1:11" x14ac:dyDescent="0.4">
      <c r="A27" s="1"/>
      <c r="B27" s="5" t="s">
        <v>131</v>
      </c>
      <c r="C27" s="1"/>
      <c r="D27" s="1"/>
      <c r="E27" s="1"/>
      <c r="F27" s="21">
        <f>CHOOSE(MATCH(Assumptions!$C$4,{"Base","Bull","Bear"},0),Assumptions!F44,Assumptions!F83,Assumptions!F122)</f>
        <v>3.2000000000000001E-2</v>
      </c>
      <c r="G27" s="1"/>
      <c r="H27" s="21">
        <f>CHOOSE(MATCH(Assumptions!$C$4,{"Base","Bull","Bear"},0),Assumptions!G44,Assumptions!G83,Assumptions!G122)</f>
        <v>0.12</v>
      </c>
      <c r="I27" s="21">
        <f>CHOOSE(MATCH(Assumptions!$C$4,{"Base","Bull","Bear"},0),Assumptions!H44,Assumptions!H83,Assumptions!H122)</f>
        <v>0.12</v>
      </c>
      <c r="J27" s="21">
        <f>CHOOSE(MATCH(Assumptions!$C$4,{"Base","Bull","Bear"},0),Assumptions!I44,Assumptions!I83,Assumptions!I122)</f>
        <v>0.12</v>
      </c>
      <c r="K27" s="21">
        <f>CHOOSE(MATCH(Assumptions!$C$4,{"Base","Bull","Bear"},0),Assumptions!J44,Assumptions!J83,Assumptions!J122)</f>
        <v>0.12</v>
      </c>
    </row>
    <row r="28" spans="1:11" x14ac:dyDescent="0.4">
      <c r="A28" s="1"/>
      <c r="B28" s="5" t="s">
        <v>133</v>
      </c>
      <c r="C28" s="27">
        <v>11342</v>
      </c>
      <c r="D28" s="27">
        <v>8527</v>
      </c>
      <c r="E28" s="27">
        <v>13014</v>
      </c>
      <c r="F28" s="20">
        <f>CHOOSE(MATCH(Assumptions!$C$4,{"Base","Bull","Bear"},0),Assumptions!F45,Assumptions!F84,Assumptions!F123)</f>
        <v>7000</v>
      </c>
      <c r="G28" s="20">
        <f>E28+F28</f>
        <v>20014</v>
      </c>
      <c r="H28" s="20">
        <f>CHOOSE(MATCH(Assumptions!$C$4,{"Base","Bull","Bear"},0),Assumptions!G45,Assumptions!G84,Assumptions!G123)</f>
        <v>22000</v>
      </c>
      <c r="I28" s="20">
        <f>CHOOSE(MATCH(Assumptions!$C$4,{"Base","Bull","Bear"},0),Assumptions!H45,Assumptions!H84,Assumptions!H123)</f>
        <v>24000</v>
      </c>
      <c r="J28" s="20">
        <f>CHOOSE(MATCH(Assumptions!$C$4,{"Base","Bull","Bear"},0),Assumptions!I45,Assumptions!I84,Assumptions!I123)</f>
        <v>22000</v>
      </c>
      <c r="K28" s="20">
        <f>CHOOSE(MATCH(Assumptions!$C$4,{"Base","Bull","Bear"},0),Assumptions!J45,Assumptions!J84,Assumptions!J123)</f>
        <v>20000</v>
      </c>
    </row>
    <row r="29" spans="1:11" x14ac:dyDescent="0.4">
      <c r="A29" s="1"/>
      <c r="B29" s="5" t="s">
        <v>149</v>
      </c>
      <c r="C29" s="31">
        <v>2.046268809499437E-2</v>
      </c>
      <c r="D29" s="31">
        <v>2.979109325403103E-2</v>
      </c>
      <c r="E29" s="31">
        <v>4.2532636743825403E-2</v>
      </c>
      <c r="F29" s="21">
        <f>CHOOSE(MATCH(Assumptions!$C$4,{"Base","Bull","Bear"},0),Assumptions!F53,Assumptions!F92,Assumptions!F131)</f>
        <v>0.04</v>
      </c>
      <c r="G29" s="21">
        <f>F29</f>
        <v>0.04</v>
      </c>
      <c r="H29" s="21">
        <f>CHOOSE(MATCH(Assumptions!$C$4,{"Base","Bull","Bear"},0),Assumptions!G53,Assumptions!G92,Assumptions!G131)</f>
        <v>0.04</v>
      </c>
      <c r="I29" s="21">
        <f>CHOOSE(MATCH(Assumptions!$C$4,{"Base","Bull","Bear"},0),Assumptions!H53,Assumptions!H92,Assumptions!H131)</f>
        <v>3.7999999999999999E-2</v>
      </c>
      <c r="J29" s="21">
        <f>CHOOSE(MATCH(Assumptions!$C$4,{"Base","Bull","Bear"},0),Assumptions!I53,Assumptions!I92,Assumptions!I131)</f>
        <v>3.5000000000000003E-2</v>
      </c>
      <c r="K29" s="21">
        <f>CHOOSE(MATCH(Assumptions!$C$4,{"Base","Bull","Bear"},0),Assumptions!J53,Assumptions!J92,Assumptions!J131)</f>
        <v>0.03</v>
      </c>
    </row>
    <row r="30" spans="1:11" x14ac:dyDescent="0.4">
      <c r="A30" s="1"/>
      <c r="B30" s="5" t="s">
        <v>181</v>
      </c>
      <c r="C30" s="31">
        <v>0.2043381535038932</v>
      </c>
      <c r="D30" s="31">
        <v>0.26960970064418338</v>
      </c>
      <c r="E30" s="31">
        <v>0.20112100230794591</v>
      </c>
      <c r="F30" s="21">
        <f>CHOOSE(MATCH(Assumptions!$C$4,{"Base","Bull","Bear"},0),Assumptions!F54,Assumptions!F93,Assumptions!F132)</f>
        <v>0.21</v>
      </c>
      <c r="G30" s="1"/>
      <c r="H30" s="21">
        <f>CHOOSE(MATCH(Assumptions!$C$4,{"Base","Bull","Bear"},0),Assumptions!G54,Assumptions!G93,Assumptions!G132)</f>
        <v>0.21</v>
      </c>
      <c r="I30" s="21">
        <f>CHOOSE(MATCH(Assumptions!$C$4,{"Base","Bull","Bear"},0),Assumptions!H54,Assumptions!H93,Assumptions!H132)</f>
        <v>0.21</v>
      </c>
      <c r="J30" s="21">
        <f>CHOOSE(MATCH(Assumptions!$C$4,{"Base","Bull","Bear"},0),Assumptions!I54,Assumptions!I93,Assumptions!I132)</f>
        <v>0.21</v>
      </c>
      <c r="K30" s="21">
        <f>CHOOSE(MATCH(Assumptions!$C$4,{"Base","Bull","Bear"},0),Assumptions!J54,Assumptions!J93,Assumptions!J132)</f>
        <v>0.21</v>
      </c>
    </row>
    <row r="31" spans="1:11" x14ac:dyDescent="0.4">
      <c r="A31" s="1"/>
      <c r="B31" s="5" t="s">
        <v>182</v>
      </c>
      <c r="C31" s="1"/>
      <c r="D31" s="1"/>
      <c r="E31" s="1"/>
      <c r="F31" s="20">
        <f>CHOOSE(MATCH(Assumptions!$C$4,{"Base","Bull","Bear"},0),Assumptions!F55,Assumptions!F94,Assumptions!F133)</f>
        <v>0.01</v>
      </c>
      <c r="G31" s="1"/>
      <c r="H31" s="20">
        <f>CHOOSE(MATCH(Assumptions!$C$4,{"Base","Bull","Bear"},0),Assumptions!G55,Assumptions!G94,Assumptions!G133)</f>
        <v>0.04</v>
      </c>
      <c r="I31" s="20">
        <f>CHOOSE(MATCH(Assumptions!$C$4,{"Base","Bull","Bear"},0),Assumptions!H55,Assumptions!H94,Assumptions!H133)</f>
        <v>0.04</v>
      </c>
      <c r="J31" s="20">
        <f>CHOOSE(MATCH(Assumptions!$C$4,{"Base","Bull","Bear"},0),Assumptions!I55,Assumptions!I94,Assumptions!I133)</f>
        <v>0.04</v>
      </c>
      <c r="K31" s="20">
        <f>CHOOSE(MATCH(Assumptions!$C$4,{"Base","Bull","Bear"},0),Assumptions!J55,Assumptions!J94,Assumptions!J133)</f>
        <v>0.04</v>
      </c>
    </row>
    <row r="32" spans="1:11" x14ac:dyDescent="0.4">
      <c r="A32" s="1"/>
      <c r="B32" s="5" t="s">
        <v>183</v>
      </c>
      <c r="C32" s="1"/>
      <c r="D32" s="1"/>
      <c r="E32" s="1"/>
      <c r="F32" s="21">
        <f>CHOOSE(MATCH(Assumptions!$C$4,{"Base","Bull","Bear"},0),Assumptions!F56,Assumptions!F95,Assumptions!F134)</f>
        <v>0.01</v>
      </c>
      <c r="G32" s="1"/>
      <c r="H32" s="21">
        <f>CHOOSE(MATCH(Assumptions!$C$4,{"Base","Bull","Bear"},0),Assumptions!G56,Assumptions!G95,Assumptions!G134)</f>
        <v>0.04</v>
      </c>
      <c r="I32" s="21">
        <f>CHOOSE(MATCH(Assumptions!$C$4,{"Base","Bull","Bear"},0),Assumptions!H56,Assumptions!H95,Assumptions!H134)</f>
        <v>0.04</v>
      </c>
      <c r="J32" s="21">
        <f>CHOOSE(MATCH(Assumptions!$C$4,{"Base","Bull","Bear"},0),Assumptions!I56,Assumptions!I95,Assumptions!I134)</f>
        <v>0.04</v>
      </c>
      <c r="K32" s="21">
        <f>CHOOSE(MATCH(Assumptions!$C$4,{"Base","Bull","Bear"},0),Assumptions!J56,Assumptions!J95,Assumptions!J134)</f>
        <v>0.04</v>
      </c>
    </row>
    <row r="33" spans="1:11" x14ac:dyDescent="0.4">
      <c r="A33" s="1"/>
      <c r="B33" s="5" t="s">
        <v>157</v>
      </c>
      <c r="C33" s="1"/>
      <c r="D33" s="1"/>
      <c r="E33" s="1"/>
      <c r="F33" s="20">
        <f>CHOOSE(MATCH(Assumptions!$C$4,{"Base","Bull","Bear"},0),Assumptions!F57,Assumptions!F96,Assumptions!F135)</f>
        <v>0</v>
      </c>
      <c r="G33" s="20">
        <f>E33+F33</f>
        <v>0</v>
      </c>
      <c r="H33" s="20">
        <f>CHOOSE(MATCH(Assumptions!$C$4,{"Base","Bull","Bear"},0),Assumptions!G57,Assumptions!G96,Assumptions!G135)</f>
        <v>0</v>
      </c>
      <c r="I33" s="20">
        <f>CHOOSE(MATCH(Assumptions!$C$4,{"Base","Bull","Bear"},0),Assumptions!H57,Assumptions!H96,Assumptions!H135)</f>
        <v>0</v>
      </c>
      <c r="J33" s="20">
        <f>CHOOSE(MATCH(Assumptions!$C$4,{"Base","Bull","Bear"},0),Assumptions!I57,Assumptions!I96,Assumptions!I135)</f>
        <v>0</v>
      </c>
      <c r="K33" s="20">
        <f>CHOOSE(MATCH(Assumptions!$C$4,{"Base","Bull","Bear"},0),Assumptions!J57,Assumptions!J96,Assumptions!J135)</f>
        <v>0</v>
      </c>
    </row>
    <row r="34" spans="1:11" x14ac:dyDescent="0.4">
      <c r="A34" s="1"/>
      <c r="B34" s="5" t="s">
        <v>184</v>
      </c>
      <c r="C34" s="1"/>
      <c r="D34" s="1"/>
      <c r="E34" s="1"/>
      <c r="F34" s="21">
        <f>CHOOSE(MATCH(Assumptions!$C$4,{"Base","Bull","Bear"},0),Assumptions!F58,Assumptions!F97,Assumptions!F136)</f>
        <v>1.4999999999999999E-2</v>
      </c>
      <c r="G34" s="1"/>
      <c r="H34" s="21">
        <f>CHOOSE(MATCH(Assumptions!$C$4,{"Base","Bull","Bear"},0),Assumptions!G58,Assumptions!G97,Assumptions!G136)</f>
        <v>1.4999999999999999E-2</v>
      </c>
      <c r="I34" s="21">
        <f>CHOOSE(MATCH(Assumptions!$C$4,{"Base","Bull","Bear"},0),Assumptions!H58,Assumptions!H97,Assumptions!H136)</f>
        <v>1.4999999999999999E-2</v>
      </c>
      <c r="J34" s="21">
        <f>CHOOSE(MATCH(Assumptions!$C$4,{"Base","Bull","Bear"},0),Assumptions!I58,Assumptions!I97,Assumptions!I136)</f>
        <v>1.4999999999999999E-2</v>
      </c>
      <c r="K34" s="21">
        <f>CHOOSE(MATCH(Assumptions!$C$4,{"Base","Bull","Bear"},0),Assumptions!J58,Assumptions!J97,Assumptions!J136)</f>
        <v>1.4999999999999999E-2</v>
      </c>
    </row>
    <row r="35" spans="1:1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4">
      <c r="A36" s="1"/>
      <c r="B36" s="4" t="s">
        <v>185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4">
      <c r="A37" s="1"/>
      <c r="B37" s="5" t="s">
        <v>135</v>
      </c>
      <c r="C37" s="1"/>
      <c r="D37" s="1"/>
      <c r="E37" s="1"/>
      <c r="F37" s="29">
        <f>CHOOSE(MATCH(Assumptions!$C$4,{"Base","Bull","Bear"},0),Assumptions!F46,Assumptions!F85,Assumptions!F124)</f>
        <v>15</v>
      </c>
      <c r="G37" s="1"/>
      <c r="H37" s="29">
        <f>CHOOSE(MATCH(Assumptions!$C$4,{"Base","Bull","Bear"},0),Assumptions!G46,Assumptions!G85,Assumptions!G124)</f>
        <v>15</v>
      </c>
      <c r="I37" s="29">
        <f>CHOOSE(MATCH(Assumptions!$C$4,{"Base","Bull","Bear"},0),Assumptions!H46,Assumptions!H85,Assumptions!H124)</f>
        <v>15</v>
      </c>
      <c r="J37" s="29">
        <f>CHOOSE(MATCH(Assumptions!$C$4,{"Base","Bull","Bear"},0),Assumptions!I46,Assumptions!I85,Assumptions!I124)</f>
        <v>15</v>
      </c>
      <c r="K37" s="29">
        <f>CHOOSE(MATCH(Assumptions!$C$4,{"Base","Bull","Bear"},0),Assumptions!J46,Assumptions!J85,Assumptions!J124)</f>
        <v>15</v>
      </c>
    </row>
    <row r="38" spans="1:11" x14ac:dyDescent="0.4">
      <c r="A38" s="1"/>
      <c r="B38" s="5" t="s">
        <v>138</v>
      </c>
      <c r="C38" s="1"/>
      <c r="D38" s="1"/>
      <c r="E38" s="1"/>
      <c r="F38" s="29">
        <f>CHOOSE(MATCH(Assumptions!$C$4,{"Base","Bull","Bear"},0),Assumptions!F47,Assumptions!F86,Assumptions!F125)</f>
        <v>55</v>
      </c>
      <c r="G38" s="1"/>
      <c r="H38" s="29">
        <f>CHOOSE(MATCH(Assumptions!$C$4,{"Base","Bull","Bear"},0),Assumptions!G47,Assumptions!G86,Assumptions!G125)</f>
        <v>55</v>
      </c>
      <c r="I38" s="29">
        <f>CHOOSE(MATCH(Assumptions!$C$4,{"Base","Bull","Bear"},0),Assumptions!H47,Assumptions!H86,Assumptions!H125)</f>
        <v>55</v>
      </c>
      <c r="J38" s="29">
        <f>CHOOSE(MATCH(Assumptions!$C$4,{"Base","Bull","Bear"},0),Assumptions!I47,Assumptions!I86,Assumptions!I125)</f>
        <v>55</v>
      </c>
      <c r="K38" s="29">
        <f>CHOOSE(MATCH(Assumptions!$C$4,{"Base","Bull","Bear"},0),Assumptions!J47,Assumptions!J86,Assumptions!J125)</f>
        <v>55</v>
      </c>
    </row>
    <row r="39" spans="1:11" x14ac:dyDescent="0.4">
      <c r="A39" s="1"/>
      <c r="B39" s="5" t="s">
        <v>140</v>
      </c>
      <c r="C39" s="1"/>
      <c r="D39" s="1"/>
      <c r="E39" s="1"/>
      <c r="F39" s="29">
        <f>CHOOSE(MATCH(Assumptions!$C$4,{"Base","Bull","Bear"},0),Assumptions!F48,Assumptions!F87,Assumptions!F126)</f>
        <v>65</v>
      </c>
      <c r="G39" s="1"/>
      <c r="H39" s="29">
        <f>CHOOSE(MATCH(Assumptions!$C$4,{"Base","Bull","Bear"},0),Assumptions!G48,Assumptions!G87,Assumptions!G126)</f>
        <v>65</v>
      </c>
      <c r="I39" s="29">
        <f>CHOOSE(MATCH(Assumptions!$C$4,{"Base","Bull","Bear"},0),Assumptions!H48,Assumptions!H87,Assumptions!H126)</f>
        <v>65</v>
      </c>
      <c r="J39" s="29">
        <f>CHOOSE(MATCH(Assumptions!$C$4,{"Base","Bull","Bear"},0),Assumptions!I48,Assumptions!I87,Assumptions!I126)</f>
        <v>65</v>
      </c>
      <c r="K39" s="29">
        <f>CHOOSE(MATCH(Assumptions!$C$4,{"Base","Bull","Bear"},0),Assumptions!J48,Assumptions!J87,Assumptions!J126)</f>
        <v>65</v>
      </c>
    </row>
    <row r="40" spans="1:11" x14ac:dyDescent="0.4">
      <c r="A40" s="1"/>
      <c r="B40" s="5" t="s">
        <v>186</v>
      </c>
      <c r="C40" s="1"/>
      <c r="D40" s="1"/>
      <c r="E40" s="1"/>
      <c r="F40" s="21">
        <f>CHOOSE(MATCH(Assumptions!$C$4,{"Base","Bull","Bear"},0),Assumptions!F49,Assumptions!F88,Assumptions!F127)</f>
        <v>5.5E-2</v>
      </c>
      <c r="G40" s="1"/>
      <c r="H40" s="21">
        <f>CHOOSE(MATCH(Assumptions!$C$4,{"Base","Bull","Bear"},0),Assumptions!G49,Assumptions!G88,Assumptions!G127)</f>
        <v>5.5E-2</v>
      </c>
      <c r="I40" s="21">
        <f>CHOOSE(MATCH(Assumptions!$C$4,{"Base","Bull","Bear"},0),Assumptions!H49,Assumptions!H88,Assumptions!H127)</f>
        <v>5.5E-2</v>
      </c>
      <c r="J40" s="21">
        <f>CHOOSE(MATCH(Assumptions!$C$4,{"Base","Bull","Bear"},0),Assumptions!I49,Assumptions!I88,Assumptions!I127)</f>
        <v>5.5E-2</v>
      </c>
      <c r="K40" s="21">
        <f>CHOOSE(MATCH(Assumptions!$C$4,{"Base","Bull","Bear"},0),Assumptions!J49,Assumptions!J88,Assumptions!J127)</f>
        <v>5.5E-2</v>
      </c>
    </row>
    <row r="41" spans="1:11" x14ac:dyDescent="0.4">
      <c r="A41" s="1"/>
      <c r="B41" s="5" t="s">
        <v>187</v>
      </c>
      <c r="C41" s="1"/>
      <c r="D41" s="1"/>
      <c r="E41" s="1"/>
      <c r="F41" s="21">
        <f>CHOOSE(MATCH(Assumptions!$C$4,{"Base","Bull","Bear"},0),Assumptions!F50,Assumptions!F89,Assumptions!F128)</f>
        <v>0.15</v>
      </c>
      <c r="G41" s="1"/>
      <c r="H41" s="21">
        <f>CHOOSE(MATCH(Assumptions!$C$4,{"Base","Bull","Bear"},0),Assumptions!G50,Assumptions!G89,Assumptions!G128)</f>
        <v>0.15</v>
      </c>
      <c r="I41" s="21">
        <f>CHOOSE(MATCH(Assumptions!$C$4,{"Base","Bull","Bear"},0),Assumptions!H50,Assumptions!H89,Assumptions!H128)</f>
        <v>0.15</v>
      </c>
      <c r="J41" s="21">
        <f>CHOOSE(MATCH(Assumptions!$C$4,{"Base","Bull","Bear"},0),Assumptions!I50,Assumptions!I89,Assumptions!I128)</f>
        <v>0.15</v>
      </c>
      <c r="K41" s="21">
        <f>CHOOSE(MATCH(Assumptions!$C$4,{"Base","Bull","Bear"},0),Assumptions!J50,Assumptions!J89,Assumptions!J128)</f>
        <v>0.15</v>
      </c>
    </row>
    <row r="42" spans="1:11" x14ac:dyDescent="0.4">
      <c r="A42" s="1"/>
      <c r="B42" s="5" t="s">
        <v>188</v>
      </c>
      <c r="C42" s="1"/>
      <c r="D42" s="1"/>
      <c r="E42" s="1"/>
      <c r="F42" s="21">
        <f>CHOOSE(MATCH(Assumptions!$C$4,{"Base","Bull","Bear"},0),Assumptions!F51,Assumptions!F90,Assumptions!F129)</f>
        <v>0.08</v>
      </c>
      <c r="G42" s="1"/>
      <c r="H42" s="21">
        <f>CHOOSE(MATCH(Assumptions!$C$4,{"Base","Bull","Bear"},0),Assumptions!G51,Assumptions!G90,Assumptions!G129)</f>
        <v>0.08</v>
      </c>
      <c r="I42" s="21">
        <f>CHOOSE(MATCH(Assumptions!$C$4,{"Base","Bull","Bear"},0),Assumptions!H51,Assumptions!H90,Assumptions!H129)</f>
        <v>0.08</v>
      </c>
      <c r="J42" s="21">
        <f>CHOOSE(MATCH(Assumptions!$C$4,{"Base","Bull","Bear"},0),Assumptions!I51,Assumptions!I90,Assumptions!I129)</f>
        <v>0.08</v>
      </c>
      <c r="K42" s="21">
        <f>CHOOSE(MATCH(Assumptions!$C$4,{"Base","Bull","Bear"},0),Assumptions!J51,Assumptions!J90,Assumptions!J129)</f>
        <v>0.08</v>
      </c>
    </row>
    <row r="43" spans="1:11" x14ac:dyDescent="0.4">
      <c r="A43" s="1"/>
      <c r="B43" s="5" t="s">
        <v>189</v>
      </c>
      <c r="C43" s="1"/>
      <c r="D43" s="1"/>
      <c r="E43" s="1"/>
      <c r="F43" s="21">
        <f>CHOOSE(MATCH(Assumptions!$C$4,{"Base","Bull","Bear"},0),Assumptions!F52,Assumptions!F91,Assumptions!F130)</f>
        <v>0.13</v>
      </c>
      <c r="G43" s="1"/>
      <c r="H43" s="21">
        <f>CHOOSE(MATCH(Assumptions!$C$4,{"Base","Bull","Bear"},0),Assumptions!G52,Assumptions!G91,Assumptions!G130)</f>
        <v>0.13</v>
      </c>
      <c r="I43" s="21">
        <f>CHOOSE(MATCH(Assumptions!$C$4,{"Base","Bull","Bear"},0),Assumptions!H52,Assumptions!H91,Assumptions!H130)</f>
        <v>0.13</v>
      </c>
      <c r="J43" s="21">
        <f>CHOOSE(MATCH(Assumptions!$C$4,{"Base","Bull","Bear"},0),Assumptions!I52,Assumptions!I91,Assumptions!I130)</f>
        <v>0.13</v>
      </c>
      <c r="K43" s="21">
        <f>CHOOSE(MATCH(Assumptions!$C$4,{"Base","Bull","Bear"},0),Assumptions!J52,Assumptions!J91,Assumptions!J130)</f>
        <v>0.13</v>
      </c>
    </row>
    <row r="44" spans="1:1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4">
      <c r="A45" s="1"/>
      <c r="B45" s="4" t="s">
        <v>190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4">
      <c r="A46" s="1"/>
      <c r="B46" s="5" t="s">
        <v>191</v>
      </c>
      <c r="C46" s="1"/>
      <c r="D46" s="1"/>
      <c r="E46" s="1"/>
      <c r="F46" s="21">
        <f>CHOOSE(MATCH(Assumptions!$C$4,{"Base","Bull","Bear"},0),Assumptions!F59,Assumptions!F98,Assumptions!F137)</f>
        <v>0</v>
      </c>
      <c r="G46" s="1"/>
      <c r="H46" s="21">
        <f>CHOOSE(MATCH(Assumptions!$C$4,{"Base","Bull","Bear"},0),Assumptions!G59,Assumptions!G98,Assumptions!G137)</f>
        <v>0</v>
      </c>
      <c r="I46" s="21">
        <f>CHOOSE(MATCH(Assumptions!$C$4,{"Base","Bull","Bear"},0),Assumptions!H59,Assumptions!H98,Assumptions!H137)</f>
        <v>0</v>
      </c>
      <c r="J46" s="21">
        <f>CHOOSE(MATCH(Assumptions!$C$4,{"Base","Bull","Bear"},0),Assumptions!I59,Assumptions!I98,Assumptions!I137)</f>
        <v>0</v>
      </c>
      <c r="K46" s="21">
        <f>CHOOSE(MATCH(Assumptions!$C$4,{"Base","Bull","Bear"},0),Assumptions!J59,Assumptions!J98,Assumptions!J137)</f>
        <v>0</v>
      </c>
    </row>
    <row r="47" spans="1:11" x14ac:dyDescent="0.4">
      <c r="A47" s="1"/>
      <c r="B47" s="5" t="s">
        <v>10</v>
      </c>
      <c r="C47" s="1"/>
      <c r="D47" s="1"/>
      <c r="E47" s="1"/>
      <c r="F47" s="21">
        <f>CHOOSE(MATCH(Assumptions!$C$4,{"Base","Bull","Bear"},0),Assumptions!F60,Assumptions!F99,Assumptions!F138)</f>
        <v>2.5000000000000001E-2</v>
      </c>
      <c r="G47" s="1"/>
      <c r="H47" s="21">
        <f>CHOOSE(MATCH(Assumptions!$C$4,{"Base","Bull","Bear"},0),Assumptions!G60,Assumptions!G99,Assumptions!G138)</f>
        <v>2.5000000000000001E-2</v>
      </c>
      <c r="I47" s="21">
        <f>CHOOSE(MATCH(Assumptions!$C$4,{"Base","Bull","Bear"},0),Assumptions!H60,Assumptions!H99,Assumptions!H138)</f>
        <v>2.5000000000000001E-2</v>
      </c>
      <c r="J47" s="21">
        <f>CHOOSE(MATCH(Assumptions!$C$4,{"Base","Bull","Bear"},0),Assumptions!I60,Assumptions!I99,Assumptions!I138)</f>
        <v>2.5000000000000001E-2</v>
      </c>
      <c r="K47" s="21">
        <f>CHOOSE(MATCH(Assumptions!$C$4,{"Base","Bull","Bear"},0),Assumptions!J60,Assumptions!J99,Assumptions!J138)</f>
        <v>2.5000000000000001E-2</v>
      </c>
    </row>
    <row r="48" spans="1:11" x14ac:dyDescent="0.4">
      <c r="A48" s="1"/>
      <c r="B48" s="5" t="s">
        <v>164</v>
      </c>
      <c r="C48" s="1"/>
      <c r="D48" s="1"/>
      <c r="E48" s="1"/>
      <c r="F48" s="21">
        <f>CHOOSE(MATCH(Assumptions!$C$4,{"Base","Bull","Bear"},0),Assumptions!F61,Assumptions!F100,Assumptions!F139)</f>
        <v>0.2</v>
      </c>
      <c r="G48" s="1"/>
      <c r="H48" s="21">
        <f>CHOOSE(MATCH(Assumptions!$C$4,{"Base","Bull","Bear"},0),Assumptions!G61,Assumptions!G100,Assumptions!G139)</f>
        <v>0.2</v>
      </c>
      <c r="I48" s="21">
        <f>CHOOSE(MATCH(Assumptions!$C$4,{"Base","Bull","Bear"},0),Assumptions!H61,Assumptions!H100,Assumptions!H139)</f>
        <v>0.2</v>
      </c>
      <c r="J48" s="21">
        <f>CHOOSE(MATCH(Assumptions!$C$4,{"Base","Bull","Bear"},0),Assumptions!I61,Assumptions!I100,Assumptions!I139)</f>
        <v>0.2</v>
      </c>
      <c r="K48" s="21">
        <f>CHOOSE(MATCH(Assumptions!$C$4,{"Base","Bull","Bear"},0),Assumptions!J61,Assumptions!J100,Assumptions!J139)</f>
        <v>0.2</v>
      </c>
    </row>
    <row r="49" spans="1:11" x14ac:dyDescent="0.4">
      <c r="A49" s="1"/>
      <c r="B49" s="5" t="s">
        <v>166</v>
      </c>
      <c r="C49" s="1"/>
      <c r="D49" s="1"/>
      <c r="E49" s="1"/>
      <c r="F49" s="32">
        <f>CHOOSE(MATCH(Assumptions!$C$4,{"Base","Bull","Bear"},0),Assumptions!F62,Assumptions!F101,Assumptions!F140)</f>
        <v>12</v>
      </c>
      <c r="G49" s="1"/>
      <c r="H49" s="32">
        <f>CHOOSE(MATCH(Assumptions!$C$4,{"Base","Bull","Bear"},0),Assumptions!G62,Assumptions!G101,Assumptions!G140)</f>
        <v>12</v>
      </c>
      <c r="I49" s="32">
        <f>CHOOSE(MATCH(Assumptions!$C$4,{"Base","Bull","Bear"},0),Assumptions!H62,Assumptions!H101,Assumptions!H140)</f>
        <v>12</v>
      </c>
      <c r="J49" s="32">
        <f>CHOOSE(MATCH(Assumptions!$C$4,{"Base","Bull","Bear"},0),Assumptions!I62,Assumptions!I101,Assumptions!I140)</f>
        <v>12</v>
      </c>
      <c r="K49" s="32">
        <f>CHOOSE(MATCH(Assumptions!$C$4,{"Base","Bull","Bear"},0),Assumptions!J62,Assumptions!J101,Assumptions!J140)</f>
        <v>12</v>
      </c>
    </row>
    <row r="50" spans="1:1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4">
      <c r="A51" s="1"/>
      <c r="B51" s="4" t="s">
        <v>192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4">
      <c r="A52" s="1"/>
      <c r="B52" s="5" t="s">
        <v>193</v>
      </c>
      <c r="C52" s="1"/>
      <c r="D52" s="1"/>
      <c r="E52" s="1"/>
      <c r="F52" s="16">
        <v>4</v>
      </c>
      <c r="G52" s="1"/>
      <c r="H52" s="16">
        <v>1</v>
      </c>
      <c r="I52" s="16">
        <v>1</v>
      </c>
      <c r="J52" s="16">
        <v>1</v>
      </c>
      <c r="K52" s="16">
        <v>1</v>
      </c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194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195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26" t="s">
        <v>173</v>
      </c>
      <c r="C5" s="26" t="s">
        <v>19</v>
      </c>
      <c r="D5" s="26" t="s">
        <v>20</v>
      </c>
      <c r="E5" s="26" t="s">
        <v>21</v>
      </c>
      <c r="F5" s="26" t="s">
        <v>22</v>
      </c>
      <c r="G5" s="26" t="s">
        <v>23</v>
      </c>
      <c r="H5" s="26" t="s">
        <v>24</v>
      </c>
      <c r="I5" s="26" t="s">
        <v>25</v>
      </c>
      <c r="J5" s="26" t="s">
        <v>26</v>
      </c>
      <c r="K5" s="26" t="s">
        <v>27</v>
      </c>
    </row>
    <row r="6" spans="1:11" x14ac:dyDescent="0.4">
      <c r="A6" s="1"/>
      <c r="B6" s="5" t="s">
        <v>175</v>
      </c>
      <c r="C6" s="6">
        <f>'Raw Data'!C6</f>
        <v>77070</v>
      </c>
      <c r="D6" s="6">
        <f>'Raw Data'!D6</f>
        <v>69526</v>
      </c>
      <c r="E6" s="6">
        <f>'Raw Data'!E6</f>
        <v>57310</v>
      </c>
      <c r="F6" s="6">
        <f>Drivers!F11</f>
        <v>21840</v>
      </c>
      <c r="G6" s="20">
        <f t="shared" ref="G6:G26" si="0">E6+F6</f>
        <v>79150</v>
      </c>
      <c r="H6" s="6">
        <f>Drivers!H11</f>
        <v>89989.073222999999</v>
      </c>
      <c r="I6" s="6">
        <f>Drivers!I11</f>
        <v>103613.41890896221</v>
      </c>
      <c r="J6" s="6">
        <f>Drivers!J11</f>
        <v>117207.49946981805</v>
      </c>
      <c r="K6" s="6">
        <f>Drivers!K11</f>
        <v>130217.53191096788</v>
      </c>
    </row>
    <row r="7" spans="1:11" x14ac:dyDescent="0.4">
      <c r="A7" s="1"/>
      <c r="B7" s="5" t="s">
        <v>196</v>
      </c>
      <c r="C7" s="6">
        <f>'Raw Data'!C7</f>
        <v>10086</v>
      </c>
      <c r="D7" s="6">
        <f>'Raw Data'!D7</f>
        <v>12771</v>
      </c>
      <c r="E7" s="6">
        <f>'Raw Data'!E7</f>
        <v>8428</v>
      </c>
      <c r="F7" s="6">
        <f>Drivers!F16</f>
        <v>3450</v>
      </c>
      <c r="G7" s="20">
        <f t="shared" si="0"/>
        <v>11878</v>
      </c>
      <c r="H7" s="6">
        <f>Drivers!H16</f>
        <v>15518.790000000003</v>
      </c>
      <c r="I7" s="6">
        <f>Drivers!I16</f>
        <v>19770.938460000001</v>
      </c>
      <c r="J7" s="6">
        <f>Drivers!J16</f>
        <v>24219.399613500002</v>
      </c>
      <c r="K7" s="6">
        <f>Drivers!K16</f>
        <v>28482.013945475996</v>
      </c>
    </row>
    <row r="8" spans="1:11" x14ac:dyDescent="0.4">
      <c r="A8" s="1"/>
      <c r="B8" s="5" t="s">
        <v>116</v>
      </c>
      <c r="C8" s="6">
        <f>'Raw Data'!C8</f>
        <v>10534</v>
      </c>
      <c r="D8" s="6">
        <f>'Raw Data'!D8</f>
        <v>12530</v>
      </c>
      <c r="E8" s="6">
        <f>'Raw Data'!E8</f>
        <v>12931</v>
      </c>
      <c r="F8" s="6">
        <f>Drivers!F17</f>
        <v>4800</v>
      </c>
      <c r="G8" s="20">
        <f t="shared" si="0"/>
        <v>17731</v>
      </c>
      <c r="H8" s="6">
        <f>Drivers!H17</f>
        <v>22163.75</v>
      </c>
      <c r="I8" s="6">
        <f>Drivers!I17</f>
        <v>27039.774999999998</v>
      </c>
      <c r="J8" s="6">
        <f>Drivers!J17</f>
        <v>32447.729999999996</v>
      </c>
      <c r="K8" s="6">
        <f>Drivers!K17</f>
        <v>38288.321399999993</v>
      </c>
    </row>
    <row r="9" spans="1:11" x14ac:dyDescent="0.4">
      <c r="A9" s="1"/>
      <c r="B9" s="7" t="s">
        <v>179</v>
      </c>
      <c r="C9" s="6">
        <f>'Raw Data'!C9</f>
        <v>97690</v>
      </c>
      <c r="D9" s="6">
        <f>'Raw Data'!D9</f>
        <v>94827</v>
      </c>
      <c r="E9" s="6">
        <f>'Raw Data'!E9</f>
        <v>78669</v>
      </c>
      <c r="F9" s="6">
        <f>Drivers!F19</f>
        <v>30090</v>
      </c>
      <c r="G9" s="20">
        <f t="shared" si="0"/>
        <v>108759</v>
      </c>
      <c r="H9" s="6">
        <f>Drivers!H19</f>
        <v>127671.61322300001</v>
      </c>
      <c r="I9" s="6">
        <f>Drivers!I19</f>
        <v>150424.13236896222</v>
      </c>
      <c r="J9" s="6">
        <f>Drivers!J19</f>
        <v>173874.62908331805</v>
      </c>
      <c r="K9" s="6">
        <f>Drivers!K19</f>
        <v>196987.86725644386</v>
      </c>
    </row>
    <row r="10" spans="1:11" x14ac:dyDescent="0.4">
      <c r="A10" s="1"/>
      <c r="B10" s="5" t="s">
        <v>197</v>
      </c>
      <c r="C10" s="6">
        <f>'Raw Data'!C10</f>
        <v>62873</v>
      </c>
      <c r="D10" s="6">
        <f>'Raw Data'!D10</f>
        <v>57165</v>
      </c>
      <c r="E10" s="6">
        <f>'Raw Data'!E10</f>
        <v>46619</v>
      </c>
      <c r="F10" s="20">
        <f>Drivers!F11*(1-Drivers!F22)</f>
        <v>17799.599999999999</v>
      </c>
      <c r="G10" s="20">
        <f t="shared" si="0"/>
        <v>64418.6</v>
      </c>
      <c r="H10" s="20">
        <f>Drivers!H11*(1-Drivers!H22)</f>
        <v>72891.149310630004</v>
      </c>
      <c r="I10" s="20">
        <f>Drivers!I11*(1-Drivers!I22)</f>
        <v>83408.802221714577</v>
      </c>
      <c r="J10" s="20">
        <f>Drivers!J11*(1-Drivers!J22)</f>
        <v>93765.999575854454</v>
      </c>
      <c r="K10" s="20">
        <f>Drivers!K11*(1-Drivers!K22)</f>
        <v>103522.93786921947</v>
      </c>
    </row>
    <row r="11" spans="1:11" x14ac:dyDescent="0.4">
      <c r="A11" s="1"/>
      <c r="B11" s="5" t="s">
        <v>198</v>
      </c>
      <c r="C11" s="6">
        <f>'Raw Data'!C11</f>
        <v>7446</v>
      </c>
      <c r="D11" s="6">
        <f>'Raw Data'!D11</f>
        <v>8969</v>
      </c>
      <c r="E11" s="6">
        <f>'Raw Data'!E11</f>
        <v>5882</v>
      </c>
      <c r="F11" s="20">
        <f>Drivers!F16*(1-Drivers!F23)</f>
        <v>2484</v>
      </c>
      <c r="G11" s="20">
        <f t="shared" si="0"/>
        <v>8366</v>
      </c>
      <c r="H11" s="20">
        <f>Drivers!H16*(1-Drivers!H23)</f>
        <v>11173.528800000002</v>
      </c>
      <c r="I11" s="20">
        <f>Drivers!I16*(1-Drivers!I23)</f>
        <v>14136.220998900002</v>
      </c>
      <c r="J11" s="20">
        <f>Drivers!J16*(1-Drivers!J23)</f>
        <v>17195.773725585001</v>
      </c>
      <c r="K11" s="20">
        <f>Drivers!K16*(1-Drivers!K23)</f>
        <v>20079.81983156058</v>
      </c>
    </row>
    <row r="12" spans="1:11" x14ac:dyDescent="0.4">
      <c r="A12" s="1"/>
      <c r="B12" s="5" t="s">
        <v>199</v>
      </c>
      <c r="C12" s="6">
        <f>'Raw Data'!C12</f>
        <v>9921</v>
      </c>
      <c r="D12" s="6">
        <f>'Raw Data'!D12</f>
        <v>11599</v>
      </c>
      <c r="E12" s="6">
        <f>'Raw Data'!E12</f>
        <v>11203</v>
      </c>
      <c r="F12" s="20">
        <f>Drivers!F17*(1-Drivers!F24)</f>
        <v>4032</v>
      </c>
      <c r="G12" s="20">
        <f t="shared" si="0"/>
        <v>15235</v>
      </c>
      <c r="H12" s="20">
        <f>Drivers!H17*(1-Drivers!H24)</f>
        <v>18506.731250000001</v>
      </c>
      <c r="I12" s="20">
        <f>Drivers!I17*(1-Drivers!I24)</f>
        <v>22443.013249999996</v>
      </c>
      <c r="J12" s="20">
        <f>Drivers!J17*(1-Drivers!J24)</f>
        <v>26607.138599999998</v>
      </c>
      <c r="K12" s="20">
        <f>Drivers!K17*(1-Drivers!K24)</f>
        <v>31013.540333999998</v>
      </c>
    </row>
    <row r="13" spans="1:11" x14ac:dyDescent="0.4">
      <c r="A13" s="1"/>
      <c r="B13" s="5" t="s">
        <v>200</v>
      </c>
      <c r="C13" s="6">
        <f>'Raw Data'!C13</f>
        <v>80240</v>
      </c>
      <c r="D13" s="6">
        <f>'Raw Data'!D13</f>
        <v>77733</v>
      </c>
      <c r="E13" s="6">
        <f>'Raw Data'!E13</f>
        <v>63704</v>
      </c>
      <c r="F13" s="20">
        <f>SUM(F10:F12)</f>
        <v>24315.599999999999</v>
      </c>
      <c r="G13" s="20">
        <f t="shared" si="0"/>
        <v>88019.6</v>
      </c>
      <c r="H13" s="20">
        <f>SUM(H10:H12)</f>
        <v>102571.40936063</v>
      </c>
      <c r="I13" s="20">
        <f>SUM(I10:I12)</f>
        <v>119988.03647061458</v>
      </c>
      <c r="J13" s="20">
        <f>SUM(J10:J12)</f>
        <v>137568.91190143945</v>
      </c>
      <c r="K13" s="20">
        <f>SUM(K10:K12)</f>
        <v>154616.29803478005</v>
      </c>
    </row>
    <row r="14" spans="1:11" x14ac:dyDescent="0.4">
      <c r="A14" s="1"/>
      <c r="B14" s="7" t="s">
        <v>201</v>
      </c>
      <c r="C14" s="6">
        <f>'Raw Data'!C14</f>
        <v>17450</v>
      </c>
      <c r="D14" s="6">
        <f>'Raw Data'!D14</f>
        <v>17094</v>
      </c>
      <c r="E14" s="6">
        <f>'Raw Data'!E14</f>
        <v>14965</v>
      </c>
      <c r="F14" s="30">
        <f>F9-F13</f>
        <v>5774.4000000000015</v>
      </c>
      <c r="G14" s="20">
        <f t="shared" si="0"/>
        <v>20739.400000000001</v>
      </c>
      <c r="H14" s="30">
        <f>H9-H13</f>
        <v>25100.203862370006</v>
      </c>
      <c r="I14" s="30">
        <f>I9-I13</f>
        <v>30436.095898347645</v>
      </c>
      <c r="J14" s="30">
        <f>J9-J13</f>
        <v>36305.717181878601</v>
      </c>
      <c r="K14" s="30">
        <f>K9-K13</f>
        <v>42371.569221663813</v>
      </c>
    </row>
    <row r="15" spans="1:11" x14ac:dyDescent="0.4">
      <c r="A15" s="1"/>
      <c r="B15" s="5" t="s">
        <v>202</v>
      </c>
      <c r="C15" s="6">
        <f>'Raw Data'!C15</f>
        <v>4540</v>
      </c>
      <c r="D15" s="6">
        <f>'Raw Data'!D15</f>
        <v>6411</v>
      </c>
      <c r="E15" s="6">
        <f>'Raw Data'!E15</f>
        <v>7078</v>
      </c>
      <c r="F15" s="20">
        <f>Drivers!F19*Drivers!F25</f>
        <v>2708.1</v>
      </c>
      <c r="G15" s="20">
        <f t="shared" si="0"/>
        <v>9786.1</v>
      </c>
      <c r="H15" s="20">
        <f>Drivers!H19*Drivers!H25</f>
        <v>10852.087123955002</v>
      </c>
      <c r="I15" s="20">
        <f>Drivers!I19*Drivers!I25</f>
        <v>12033.930589516978</v>
      </c>
      <c r="J15" s="20">
        <f>Drivers!J19*Drivers!J25</f>
        <v>13040.597181248853</v>
      </c>
      <c r="K15" s="20">
        <f>Drivers!K19*Drivers!K25</f>
        <v>13789.150707951072</v>
      </c>
    </row>
    <row r="16" spans="1:11" x14ac:dyDescent="0.4">
      <c r="A16" s="1"/>
      <c r="B16" s="5" t="s">
        <v>203</v>
      </c>
      <c r="C16" s="6">
        <f>'Raw Data'!C16</f>
        <v>5150</v>
      </c>
      <c r="D16" s="6">
        <f>'Raw Data'!D16</f>
        <v>5834</v>
      </c>
      <c r="E16" s="6">
        <f>'Raw Data'!E16</f>
        <v>5830</v>
      </c>
      <c r="F16" s="20">
        <f>Drivers!F19*Drivers!F26</f>
        <v>2106.3000000000002</v>
      </c>
      <c r="G16" s="20">
        <f t="shared" si="0"/>
        <v>7936.3</v>
      </c>
      <c r="H16" s="20">
        <f>Drivers!H19*Drivers!H26</f>
        <v>8298.654859495</v>
      </c>
      <c r="I16" s="20">
        <f>Drivers!I19*Drivers!I26</f>
        <v>9025.4479421377328</v>
      </c>
      <c r="J16" s="20">
        <f>Drivers!J19*Drivers!J26</f>
        <v>9563.1045995824934</v>
      </c>
      <c r="K16" s="20">
        <f>Drivers!K19*Drivers!K26</f>
        <v>9849.393362822193</v>
      </c>
    </row>
    <row r="17" spans="1:11" x14ac:dyDescent="0.4">
      <c r="A17" s="1"/>
      <c r="B17" s="5" t="s">
        <v>204</v>
      </c>
      <c r="C17" s="6">
        <f>'Raw Data'!C17</f>
        <v>684</v>
      </c>
      <c r="D17" s="6">
        <f>'Raw Data'!D17</f>
        <v>494</v>
      </c>
      <c r="E17" s="6">
        <f>'Raw Data'!E17</f>
        <v>0</v>
      </c>
      <c r="F17" s="20">
        <f>0</f>
        <v>0</v>
      </c>
      <c r="G17" s="20">
        <f t="shared" si="0"/>
        <v>0</v>
      </c>
      <c r="H17" s="20">
        <f>0</f>
        <v>0</v>
      </c>
      <c r="I17" s="20">
        <f>0</f>
        <v>0</v>
      </c>
      <c r="J17" s="20">
        <f>0</f>
        <v>0</v>
      </c>
      <c r="K17" s="20">
        <f>0</f>
        <v>0</v>
      </c>
    </row>
    <row r="18" spans="1:11" x14ac:dyDescent="0.4">
      <c r="A18" s="1"/>
      <c r="B18" s="7" t="s">
        <v>30</v>
      </c>
      <c r="C18" s="6">
        <f>'Raw Data'!C18</f>
        <v>7076</v>
      </c>
      <c r="D18" s="6">
        <f>'Raw Data'!D18</f>
        <v>4355</v>
      </c>
      <c r="E18" s="6">
        <f>'Raw Data'!E18</f>
        <v>2057</v>
      </c>
      <c r="F18" s="30">
        <f>F14-F15-F16-F17</f>
        <v>960.00000000000136</v>
      </c>
      <c r="G18" s="20">
        <f t="shared" si="0"/>
        <v>3017.0000000000014</v>
      </c>
      <c r="H18" s="30">
        <f>H14-H15-H16-H17</f>
        <v>5949.4618789200049</v>
      </c>
      <c r="I18" s="30">
        <f>I14-I15-I16-I17</f>
        <v>9376.7173666929339</v>
      </c>
      <c r="J18" s="30">
        <f>J14-J15-J16-J17</f>
        <v>13702.015401047254</v>
      </c>
      <c r="K18" s="30">
        <f>K14-K15-K16-K17</f>
        <v>18733.025150890549</v>
      </c>
    </row>
    <row r="19" spans="1:11" x14ac:dyDescent="0.4">
      <c r="A19" s="1"/>
      <c r="B19" s="5" t="s">
        <v>205</v>
      </c>
      <c r="C19" s="6">
        <f>'Raw Data'!C19</f>
        <v>1569</v>
      </c>
      <c r="D19" s="6">
        <f>'Raw Data'!D19</f>
        <v>1680</v>
      </c>
      <c r="E19" s="6">
        <f>'Raw Data'!E19</f>
        <v>1301</v>
      </c>
      <c r="F19" s="20">
        <f>('Raw Data'!E29+'Raw Data'!E30)*Drivers!F31</f>
        <v>454.47</v>
      </c>
      <c r="G19" s="20">
        <f t="shared" si="0"/>
        <v>1755.47</v>
      </c>
      <c r="H19" s="20">
        <f>(BS!F6+BS!F7)*Drivers!H31</f>
        <v>1753.852020952329</v>
      </c>
      <c r="I19" s="20">
        <f>(BS!H6+BS!H7)*Drivers!I31</f>
        <v>1697.2045405775716</v>
      </c>
      <c r="J19" s="20">
        <f>(BS!I6+BS!I7)*Drivers!J31</f>
        <v>1934.7268177420856</v>
      </c>
      <c r="K19" s="20">
        <f>(BS!J6+BS!J7)*Drivers!K31</f>
        <v>2486.5854629411438</v>
      </c>
    </row>
    <row r="20" spans="1:11" x14ac:dyDescent="0.4">
      <c r="A20" s="1"/>
      <c r="B20" s="5" t="s">
        <v>206</v>
      </c>
      <c r="C20" s="6">
        <f>'Raw Data'!C20</f>
        <v>-350</v>
      </c>
      <c r="D20" s="6">
        <f>'Raw Data'!D20</f>
        <v>-338</v>
      </c>
      <c r="E20" s="6">
        <f>'Raw Data'!E20</f>
        <v>-263</v>
      </c>
      <c r="F20" s="20">
        <f>-'Raw Data'!E79*Drivers!F32</f>
        <v>-95.23</v>
      </c>
      <c r="G20" s="20">
        <f t="shared" si="0"/>
        <v>-358.23</v>
      </c>
      <c r="H20" s="20">
        <f>-BS!F18*Drivers!H32</f>
        <v>-380.92</v>
      </c>
      <c r="I20" s="20">
        <f>-BS!H18*Drivers!I32</f>
        <v>-380.92</v>
      </c>
      <c r="J20" s="20">
        <f>-BS!I18*Drivers!J32</f>
        <v>-380.92</v>
      </c>
      <c r="K20" s="20">
        <f>-BS!J18*Drivers!K32</f>
        <v>-380.92</v>
      </c>
    </row>
    <row r="21" spans="1:11" x14ac:dyDescent="0.4">
      <c r="A21" s="1"/>
      <c r="B21" s="5" t="s">
        <v>207</v>
      </c>
      <c r="C21" s="6">
        <f>'Raw Data'!C21</f>
        <v>695</v>
      </c>
      <c r="D21" s="6">
        <f>'Raw Data'!D21</f>
        <v>-419</v>
      </c>
      <c r="E21" s="6">
        <f>'Raw Data'!E21</f>
        <v>-62</v>
      </c>
      <c r="F21" s="20">
        <f>Drivers!F33</f>
        <v>0</v>
      </c>
      <c r="G21" s="20">
        <f t="shared" si="0"/>
        <v>-62</v>
      </c>
      <c r="H21" s="20">
        <f>Drivers!H33</f>
        <v>0</v>
      </c>
      <c r="I21" s="20">
        <f>Drivers!I33</f>
        <v>0</v>
      </c>
      <c r="J21" s="20">
        <f>Drivers!J33</f>
        <v>0</v>
      </c>
      <c r="K21" s="20">
        <f>Drivers!K33</f>
        <v>0</v>
      </c>
    </row>
    <row r="22" spans="1:11" x14ac:dyDescent="0.4">
      <c r="A22" s="1"/>
      <c r="B22" s="5" t="s">
        <v>208</v>
      </c>
      <c r="C22" s="6">
        <f>'Raw Data'!C22</f>
        <v>8990</v>
      </c>
      <c r="D22" s="6">
        <f>'Raw Data'!D22</f>
        <v>5278</v>
      </c>
      <c r="E22" s="6">
        <f>'Raw Data'!E22</f>
        <v>3033</v>
      </c>
      <c r="F22" s="20">
        <f>F18+F19+F20+F21</f>
        <v>1319.2400000000014</v>
      </c>
      <c r="G22" s="20">
        <f t="shared" si="0"/>
        <v>4352.2400000000016</v>
      </c>
      <c r="H22" s="20">
        <f>H18+H19+H20+H21</f>
        <v>7322.3938998723333</v>
      </c>
      <c r="I22" s="20">
        <f>I18+I19+I20+I21</f>
        <v>10693.001907270505</v>
      </c>
      <c r="J22" s="20">
        <f>J18+J19+J20+J21</f>
        <v>15255.822218789339</v>
      </c>
      <c r="K22" s="20">
        <f>K18+K19+K20+K21</f>
        <v>20838.690613831695</v>
      </c>
    </row>
    <row r="23" spans="1:11" x14ac:dyDescent="0.4">
      <c r="A23" s="1"/>
      <c r="B23" s="5" t="s">
        <v>209</v>
      </c>
      <c r="C23" s="6">
        <f>'Raw Data'!C23</f>
        <v>1837</v>
      </c>
      <c r="D23" s="6">
        <f>'Raw Data'!D23</f>
        <v>1423</v>
      </c>
      <c r="E23" s="6">
        <f>'Raw Data'!E23</f>
        <v>610</v>
      </c>
      <c r="F23" s="20">
        <f>F22*Drivers!F30</f>
        <v>277.04040000000026</v>
      </c>
      <c r="G23" s="20">
        <f t="shared" si="0"/>
        <v>887.04040000000032</v>
      </c>
      <c r="H23" s="20">
        <f>H22*Drivers!H30</f>
        <v>1537.70271897319</v>
      </c>
      <c r="I23" s="20">
        <f>I22*Drivers!I30</f>
        <v>2245.5304005268063</v>
      </c>
      <c r="J23" s="20">
        <f>J22*Drivers!J30</f>
        <v>3203.722665945761</v>
      </c>
      <c r="K23" s="20">
        <f>K22*Drivers!K30</f>
        <v>4376.1250289046557</v>
      </c>
    </row>
    <row r="24" spans="1:11" x14ac:dyDescent="0.4">
      <c r="A24" s="1"/>
      <c r="B24" s="7" t="s">
        <v>210</v>
      </c>
      <c r="C24" s="6">
        <f>'Raw Data'!C24</f>
        <v>7153</v>
      </c>
      <c r="D24" s="6">
        <f>'Raw Data'!D24</f>
        <v>3855</v>
      </c>
      <c r="E24" s="6">
        <f>'Raw Data'!E24</f>
        <v>2423</v>
      </c>
      <c r="F24" s="30">
        <f>F22-F23</f>
        <v>1042.1996000000011</v>
      </c>
      <c r="G24" s="20">
        <f t="shared" si="0"/>
        <v>3465.1996000000008</v>
      </c>
      <c r="H24" s="30">
        <f>H22-H23</f>
        <v>5784.6911808991435</v>
      </c>
      <c r="I24" s="30">
        <f>I22-I23</f>
        <v>8447.4715067436991</v>
      </c>
      <c r="J24" s="30">
        <f>J22-J23</f>
        <v>12052.099552843578</v>
      </c>
      <c r="K24" s="30">
        <f>K22-K23</f>
        <v>16462.565584927041</v>
      </c>
    </row>
    <row r="25" spans="1:11" x14ac:dyDescent="0.4">
      <c r="A25" s="1"/>
      <c r="B25" s="5" t="s">
        <v>211</v>
      </c>
      <c r="C25" s="6">
        <f>'Raw Data'!C25</f>
        <v>62</v>
      </c>
      <c r="D25" s="6">
        <f>'Raw Data'!D25</f>
        <v>61</v>
      </c>
      <c r="E25" s="6">
        <f>'Raw Data'!E25</f>
        <v>45</v>
      </c>
      <c r="F25" s="20">
        <f>F24*Drivers!F34</f>
        <v>15.632994000000016</v>
      </c>
      <c r="G25" s="20">
        <f t="shared" si="0"/>
        <v>60.632994000000018</v>
      </c>
      <c r="H25" s="20">
        <f>H24*Drivers!H34</f>
        <v>86.770367713487147</v>
      </c>
      <c r="I25" s="20">
        <f>I24*Drivers!I34</f>
        <v>126.71207260115548</v>
      </c>
      <c r="J25" s="20">
        <f>J24*Drivers!J34</f>
        <v>180.78149329265366</v>
      </c>
      <c r="K25" s="20">
        <f>K24*Drivers!K34</f>
        <v>246.9384837739056</v>
      </c>
    </row>
    <row r="26" spans="1:11" x14ac:dyDescent="0.4">
      <c r="A26" s="1"/>
      <c r="B26" s="7" t="s">
        <v>212</v>
      </c>
      <c r="C26" s="6">
        <f>'Raw Data'!C26</f>
        <v>7091</v>
      </c>
      <c r="D26" s="6">
        <f>'Raw Data'!D26</f>
        <v>3794</v>
      </c>
      <c r="E26" s="6">
        <f>'Raw Data'!E26</f>
        <v>2378</v>
      </c>
      <c r="F26" s="30">
        <f>F24-F25</f>
        <v>1026.566606000001</v>
      </c>
      <c r="G26" s="20">
        <f t="shared" si="0"/>
        <v>3404.5666060000012</v>
      </c>
      <c r="H26" s="30">
        <f>H24-H25</f>
        <v>5697.9208131856567</v>
      </c>
      <c r="I26" s="30">
        <f>I24-I25</f>
        <v>8320.7594341425429</v>
      </c>
      <c r="J26" s="30">
        <f>J24-J25</f>
        <v>11871.318059550924</v>
      </c>
      <c r="K26" s="30">
        <f>K24-K25</f>
        <v>16215.627101153135</v>
      </c>
    </row>
    <row r="27" spans="1:11" x14ac:dyDescent="0.4">
      <c r="A27" s="1"/>
      <c r="B27" s="5" t="s">
        <v>213</v>
      </c>
      <c r="C27" s="6">
        <f>'Raw Data'!C27</f>
        <v>3498</v>
      </c>
      <c r="D27" s="6">
        <f>'Raw Data'!D27</f>
        <v>3528</v>
      </c>
      <c r="E27" s="6">
        <f>'Raw Data'!E27</f>
        <v>3539</v>
      </c>
      <c r="F27" s="29">
        <f>Assumptions!$C$10</f>
        <v>3952.7579460000002</v>
      </c>
      <c r="G27" s="29">
        <f>Assumptions!$C$10</f>
        <v>3952.7579460000002</v>
      </c>
      <c r="H27" s="29">
        <f>Assumptions!$C$10</f>
        <v>3952.7579460000002</v>
      </c>
      <c r="I27" s="29">
        <f>Assumptions!$C$10</f>
        <v>3952.7579460000002</v>
      </c>
      <c r="J27" s="29">
        <f>Assumptions!$C$10</f>
        <v>3952.7579460000002</v>
      </c>
      <c r="K27" s="29">
        <f>Assumptions!$C$10</f>
        <v>3952.7579460000002</v>
      </c>
    </row>
    <row r="28" spans="1:11" x14ac:dyDescent="0.4">
      <c r="A28" s="1"/>
      <c r="B28" s="5" t="s">
        <v>214</v>
      </c>
      <c r="C28" s="9">
        <f>'Raw Data'!C28</f>
        <v>2.04</v>
      </c>
      <c r="D28" s="9">
        <f>'Raw Data'!D28</f>
        <v>1.08</v>
      </c>
      <c r="E28" s="9">
        <f>'Raw Data'!E28</f>
        <v>0.67</v>
      </c>
      <c r="F28" s="33">
        <f t="shared" ref="F28:K28" si="1">F26/F27</f>
        <v>0.25970894753088453</v>
      </c>
      <c r="G28" s="33">
        <f t="shared" si="1"/>
        <v>0.86131421465998392</v>
      </c>
      <c r="H28" s="33">
        <f t="shared" si="1"/>
        <v>1.4415051189642607</v>
      </c>
      <c r="I28" s="33">
        <f t="shared" si="1"/>
        <v>2.1050515988621941</v>
      </c>
      <c r="J28" s="33">
        <f t="shared" si="1"/>
        <v>3.0033000304418143</v>
      </c>
      <c r="K28" s="33">
        <f t="shared" si="1"/>
        <v>4.1023577266001237</v>
      </c>
    </row>
    <row r="29" spans="1:11" x14ac:dyDescent="0.4">
      <c r="A29" s="1"/>
      <c r="B29" s="34" t="s">
        <v>215</v>
      </c>
      <c r="C29" s="1"/>
      <c r="D29" s="21">
        <f>D9/C9-1</f>
        <v>-2.9306991503736279E-2</v>
      </c>
      <c r="E29" s="21">
        <f>E9/D9-1</f>
        <v>-0.17039450789332156</v>
      </c>
      <c r="F29" s="1"/>
      <c r="G29" s="21">
        <f>G9/F9-1</f>
        <v>2.6144566301096708</v>
      </c>
      <c r="H29" s="21">
        <f>H9/G9-1</f>
        <v>0.17389469582287442</v>
      </c>
      <c r="I29" s="21">
        <f>I9/H9-1</f>
        <v>0.17821126068346227</v>
      </c>
      <c r="J29" s="21">
        <f>J9/I9-1</f>
        <v>0.15589584161161163</v>
      </c>
      <c r="K29" s="21">
        <f>K9/J9-1</f>
        <v>0.13293048154857767</v>
      </c>
    </row>
    <row r="30" spans="1:11" x14ac:dyDescent="0.4">
      <c r="A30" s="1"/>
      <c r="B30" s="34" t="s">
        <v>29</v>
      </c>
      <c r="C30" s="21">
        <f t="shared" ref="C30:K30" si="2">C14/C9</f>
        <v>0.17862626676220697</v>
      </c>
      <c r="D30" s="21">
        <f t="shared" si="2"/>
        <v>0.18026511436616155</v>
      </c>
      <c r="E30" s="21">
        <f t="shared" si="2"/>
        <v>0.19022740850906963</v>
      </c>
      <c r="F30" s="21">
        <f t="shared" si="2"/>
        <v>0.19190428713858429</v>
      </c>
      <c r="G30" s="21">
        <f t="shared" si="2"/>
        <v>0.190691345084085</v>
      </c>
      <c r="H30" s="21">
        <f t="shared" si="2"/>
        <v>0.19659972353077632</v>
      </c>
      <c r="I30" s="21">
        <f t="shared" si="2"/>
        <v>0.20233519328995431</v>
      </c>
      <c r="J30" s="21">
        <f t="shared" si="2"/>
        <v>0.20880399500079713</v>
      </c>
      <c r="K30" s="21">
        <f t="shared" si="2"/>
        <v>0.21509735503914776</v>
      </c>
    </row>
    <row r="31" spans="1:11" x14ac:dyDescent="0.4">
      <c r="A31" s="1"/>
      <c r="B31" s="34" t="s">
        <v>31</v>
      </c>
      <c r="C31" s="21">
        <f t="shared" ref="C31:K31" si="3">C18/C9</f>
        <v>7.2433207083631893E-2</v>
      </c>
      <c r="D31" s="21">
        <f t="shared" si="3"/>
        <v>4.5925738450019508E-2</v>
      </c>
      <c r="E31" s="21">
        <f t="shared" si="3"/>
        <v>2.6147529522429418E-2</v>
      </c>
      <c r="F31" s="21">
        <f t="shared" si="3"/>
        <v>3.1904287138584293E-2</v>
      </c>
      <c r="G31" s="21">
        <f t="shared" si="3"/>
        <v>2.7740232992212153E-2</v>
      </c>
      <c r="H31" s="21">
        <f t="shared" si="3"/>
        <v>4.6599723530776307E-2</v>
      </c>
      <c r="I31" s="21">
        <f t="shared" si="3"/>
        <v>6.2335193289954315E-2</v>
      </c>
      <c r="J31" s="21">
        <f t="shared" si="3"/>
        <v>7.8803995000797142E-2</v>
      </c>
      <c r="K31" s="21">
        <f t="shared" si="3"/>
        <v>9.5097355039147749E-2</v>
      </c>
    </row>
    <row r="32" spans="1:1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0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216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217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26" t="s">
        <v>173</v>
      </c>
      <c r="C5" s="26" t="s">
        <v>19</v>
      </c>
      <c r="D5" s="26" t="s">
        <v>20</v>
      </c>
      <c r="E5" s="26" t="s">
        <v>21</v>
      </c>
      <c r="F5" s="26" t="s">
        <v>22</v>
      </c>
      <c r="G5" s="26" t="s">
        <v>23</v>
      </c>
      <c r="H5" s="26" t="s">
        <v>24</v>
      </c>
      <c r="I5" s="26" t="s">
        <v>25</v>
      </c>
      <c r="J5" s="26" t="s">
        <v>26</v>
      </c>
      <c r="K5" s="26" t="s">
        <v>27</v>
      </c>
    </row>
    <row r="6" spans="1:11" x14ac:dyDescent="0.4">
      <c r="A6" s="1"/>
      <c r="B6" s="5" t="s">
        <v>218</v>
      </c>
      <c r="C6" s="6">
        <f>'Raw Data'!C29</f>
        <v>16139</v>
      </c>
      <c r="D6" s="6">
        <f>'Raw Data'!D29</f>
        <v>16513</v>
      </c>
      <c r="E6" s="6">
        <f>'Raw Data'!E29</f>
        <v>17853</v>
      </c>
      <c r="F6" s="6">
        <f>CF!F31</f>
        <v>16252.300523808222</v>
      </c>
      <c r="G6" s="20">
        <f t="shared" ref="G6:G27" si="0">F6</f>
        <v>16252.300523808222</v>
      </c>
      <c r="H6" s="6">
        <f>CF!H31</f>
        <v>14836.113514439292</v>
      </c>
      <c r="I6" s="6">
        <f>CF!I31</f>
        <v>20774.170443552135</v>
      </c>
      <c r="J6" s="6">
        <f>CF!J31</f>
        <v>34570.636573528594</v>
      </c>
      <c r="K6" s="6">
        <f>CF!K31</f>
        <v>55731.51339140362</v>
      </c>
    </row>
    <row r="7" spans="1:11" x14ac:dyDescent="0.4">
      <c r="A7" s="1"/>
      <c r="B7" s="5" t="s">
        <v>219</v>
      </c>
      <c r="C7" s="6">
        <f>'Raw Data'!C30</f>
        <v>20424</v>
      </c>
      <c r="D7" s="6">
        <f>'Raw Data'!D30</f>
        <v>27546</v>
      </c>
      <c r="E7" s="6">
        <f>'Raw Data'!E30</f>
        <v>27594</v>
      </c>
      <c r="F7" s="20">
        <f>E7</f>
        <v>27594</v>
      </c>
      <c r="G7" s="20">
        <f t="shared" si="0"/>
        <v>27594</v>
      </c>
      <c r="H7" s="20">
        <f>F7</f>
        <v>27594</v>
      </c>
      <c r="I7" s="20">
        <f>H7</f>
        <v>27594</v>
      </c>
      <c r="J7" s="20">
        <f>I7</f>
        <v>27594</v>
      </c>
      <c r="K7" s="20">
        <f>J7</f>
        <v>27594</v>
      </c>
    </row>
    <row r="8" spans="1:11" x14ac:dyDescent="0.4">
      <c r="A8" s="1"/>
      <c r="B8" s="5" t="s">
        <v>220</v>
      </c>
      <c r="C8" s="6">
        <f>'Raw Data'!C31</f>
        <v>4418</v>
      </c>
      <c r="D8" s="6">
        <f>'Raw Data'!D31</f>
        <v>4576</v>
      </c>
      <c r="E8" s="6">
        <f>'Raw Data'!E31</f>
        <v>4636</v>
      </c>
      <c r="F8" s="20">
        <f>Drivers!F19*Drivers!F52*Drivers!F37/365</f>
        <v>4946.3013698630139</v>
      </c>
      <c r="G8" s="20">
        <f t="shared" si="0"/>
        <v>4946.3013698630139</v>
      </c>
      <c r="H8" s="20">
        <f>Drivers!H19*Drivers!H52*Drivers!H37/365</f>
        <v>5246.7786256027402</v>
      </c>
      <c r="I8" s="20">
        <f>Drivers!I19*Drivers!I52*Drivers!I37/365</f>
        <v>6181.813658998447</v>
      </c>
      <c r="J8" s="20">
        <f>Drivers!J19*Drivers!J52*Drivers!J37/365</f>
        <v>7145.5327020541663</v>
      </c>
      <c r="K8" s="20">
        <f>Drivers!K19*Drivers!K52*Drivers!K37/365</f>
        <v>8095.3918050593365</v>
      </c>
    </row>
    <row r="9" spans="1:11" x14ac:dyDescent="0.4">
      <c r="A9" s="1"/>
      <c r="B9" s="5" t="s">
        <v>221</v>
      </c>
      <c r="C9" s="6">
        <f>'Raw Data'!C32</f>
        <v>12017</v>
      </c>
      <c r="D9" s="6">
        <f>'Raw Data'!D32</f>
        <v>12392</v>
      </c>
      <c r="E9" s="6">
        <f>'Raw Data'!E32</f>
        <v>14092</v>
      </c>
      <c r="F9" s="20">
        <f>IS!F13*Drivers!F52*Drivers!F38/365</f>
        <v>14655.978082191781</v>
      </c>
      <c r="G9" s="20">
        <f t="shared" si="0"/>
        <v>14655.978082191781</v>
      </c>
      <c r="H9" s="20">
        <f>IS!H13*Drivers!H52*Drivers!H38/365</f>
        <v>15455.965794067533</v>
      </c>
      <c r="I9" s="20">
        <f>IS!I13*Drivers!I52*Drivers!I38/365</f>
        <v>18080.389057215896</v>
      </c>
      <c r="J9" s="20">
        <f>IS!J13*Drivers!J52*Drivers!J38/365</f>
        <v>20729.562067340194</v>
      </c>
      <c r="K9" s="20">
        <f>IS!K13*Drivers!K52*Drivers!K38/365</f>
        <v>23298.346279213431</v>
      </c>
    </row>
    <row r="10" spans="1:11" x14ac:dyDescent="0.4">
      <c r="A10" s="1"/>
      <c r="B10" s="5" t="s">
        <v>222</v>
      </c>
      <c r="C10" s="6">
        <f>'Raw Data'!C33</f>
        <v>5362</v>
      </c>
      <c r="D10" s="6">
        <f>'Raw Data'!D33</f>
        <v>7615</v>
      </c>
      <c r="E10" s="6">
        <f>'Raw Data'!E33</f>
        <v>6227</v>
      </c>
      <c r="F10" s="20">
        <f>Drivers!F19*Drivers!F52*Drivers!F40</f>
        <v>6619.8</v>
      </c>
      <c r="G10" s="20">
        <f t="shared" si="0"/>
        <v>6619.8</v>
      </c>
      <c r="H10" s="20">
        <f>Drivers!H19*Drivers!H52*Drivers!H40</f>
        <v>7021.9387272650001</v>
      </c>
      <c r="I10" s="20">
        <f>Drivers!I19*Drivers!I52*Drivers!I40</f>
        <v>8273.3272802929223</v>
      </c>
      <c r="J10" s="20">
        <f>Drivers!J19*Drivers!J52*Drivers!J40</f>
        <v>9563.1045995824934</v>
      </c>
      <c r="K10" s="20">
        <f>Drivers!K19*Drivers!K52*Drivers!K40</f>
        <v>10834.332699104412</v>
      </c>
    </row>
    <row r="11" spans="1:11" x14ac:dyDescent="0.4">
      <c r="A11" s="1"/>
      <c r="B11" s="7" t="s">
        <v>223</v>
      </c>
      <c r="C11" s="6">
        <f>'Raw Data'!C34</f>
        <v>58360</v>
      </c>
      <c r="D11" s="6">
        <f>'Raw Data'!D34</f>
        <v>68642</v>
      </c>
      <c r="E11" s="6">
        <f>'Raw Data'!E34</f>
        <v>70402</v>
      </c>
      <c r="F11" s="30">
        <f>SUM(F6:F10)</f>
        <v>70068.379975863019</v>
      </c>
      <c r="G11" s="20">
        <f t="shared" si="0"/>
        <v>70068.379975863019</v>
      </c>
      <c r="H11" s="30">
        <f>SUM(H6:H10)</f>
        <v>70154.796661374567</v>
      </c>
      <c r="I11" s="30">
        <f>SUM(I6:I10)</f>
        <v>80903.700440059416</v>
      </c>
      <c r="J11" s="30">
        <f>SUM(J6:J10)</f>
        <v>99602.835942505451</v>
      </c>
      <c r="K11" s="30">
        <f>SUM(K6:K10)</f>
        <v>125553.58417478082</v>
      </c>
    </row>
    <row r="12" spans="1:11" x14ac:dyDescent="0.4">
      <c r="A12" s="1"/>
      <c r="B12" s="5" t="s">
        <v>224</v>
      </c>
      <c r="C12" s="6">
        <f>'Raw Data'!C76</f>
        <v>46341</v>
      </c>
      <c r="D12" s="6">
        <f>'Raw Data'!D76</f>
        <v>50159</v>
      </c>
      <c r="E12" s="6">
        <f>'Raw Data'!E76</f>
        <v>59091</v>
      </c>
      <c r="F12" s="6">
        <f>Schedules!F9</f>
        <v>64200.088000000003</v>
      </c>
      <c r="G12" s="20">
        <f t="shared" si="0"/>
        <v>64200.088000000003</v>
      </c>
      <c r="H12" s="6">
        <f>Schedules!H9</f>
        <v>78496.077440000008</v>
      </c>
      <c r="I12" s="6">
        <f>Schedules!I9</f>
        <v>93076.54814720001</v>
      </c>
      <c r="J12" s="6">
        <f>Schedules!J9</f>
        <v>103907.36236953601</v>
      </c>
      <c r="K12" s="6">
        <f>Schedules!K9</f>
        <v>111438.4788851917</v>
      </c>
    </row>
    <row r="13" spans="1:11" x14ac:dyDescent="0.4">
      <c r="A13" s="1"/>
      <c r="B13" s="5" t="s">
        <v>225</v>
      </c>
      <c r="C13" s="6">
        <f>'Raw Data'!C77</f>
        <v>17369</v>
      </c>
      <c r="D13" s="6">
        <f>'Raw Data'!D77</f>
        <v>19005</v>
      </c>
      <c r="E13" s="6">
        <f>'Raw Data'!E77</f>
        <v>28024</v>
      </c>
      <c r="F13" s="20">
        <f>E13</f>
        <v>28024</v>
      </c>
      <c r="G13" s="20">
        <f t="shared" si="0"/>
        <v>28024</v>
      </c>
      <c r="H13" s="20">
        <f>F13</f>
        <v>28024</v>
      </c>
      <c r="I13" s="20">
        <f>H13</f>
        <v>28024</v>
      </c>
      <c r="J13" s="20">
        <f>I13</f>
        <v>28024</v>
      </c>
      <c r="K13" s="20">
        <f>J13</f>
        <v>28024</v>
      </c>
    </row>
    <row r="14" spans="1:11" x14ac:dyDescent="0.4">
      <c r="A14" s="1"/>
      <c r="B14" s="7" t="s">
        <v>226</v>
      </c>
      <c r="C14" s="6">
        <f>'Raw Data'!C42</f>
        <v>122070</v>
      </c>
      <c r="D14" s="6">
        <f>'Raw Data'!D42</f>
        <v>137806</v>
      </c>
      <c r="E14" s="6">
        <f>'Raw Data'!E42</f>
        <v>157517</v>
      </c>
      <c r="F14" s="30">
        <f>F11+F12+F13</f>
        <v>162292.46797586302</v>
      </c>
      <c r="G14" s="20">
        <f t="shared" si="0"/>
        <v>162292.46797586302</v>
      </c>
      <c r="H14" s="30">
        <f>H11+H12+H13</f>
        <v>176674.87410137459</v>
      </c>
      <c r="I14" s="30">
        <f>I11+I12+I13</f>
        <v>202004.24858725944</v>
      </c>
      <c r="J14" s="30">
        <f>J11+J12+J13</f>
        <v>231534.19831204147</v>
      </c>
      <c r="K14" s="30">
        <f>K11+K12+K13</f>
        <v>265016.06305997248</v>
      </c>
    </row>
    <row r="15" spans="1:11" x14ac:dyDescent="0.4">
      <c r="A15" s="1"/>
      <c r="B15" s="5" t="s">
        <v>227</v>
      </c>
      <c r="C15" s="6">
        <f>'Raw Data'!C43</f>
        <v>12474</v>
      </c>
      <c r="D15" s="6">
        <f>'Raw Data'!D43</f>
        <v>13371</v>
      </c>
      <c r="E15" s="6">
        <f>'Raw Data'!E43</f>
        <v>17239</v>
      </c>
      <c r="F15" s="20">
        <f>IS!F13*Drivers!F52*Drivers!F39/365</f>
        <v>17320.701369863014</v>
      </c>
      <c r="G15" s="20">
        <f t="shared" si="0"/>
        <v>17320.701369863014</v>
      </c>
      <c r="H15" s="20">
        <f>IS!H13*Drivers!H52*Drivers!H39/365</f>
        <v>18266.141392988906</v>
      </c>
      <c r="I15" s="20">
        <f>IS!I13*Drivers!I52*Drivers!I39/365</f>
        <v>21367.732522164239</v>
      </c>
      <c r="J15" s="20">
        <f>IS!J13*Drivers!J52*Drivers!J39/365</f>
        <v>24498.573352311134</v>
      </c>
      <c r="K15" s="20">
        <f>IS!K13*Drivers!K52*Drivers!K39/365</f>
        <v>27534.409239070417</v>
      </c>
    </row>
    <row r="16" spans="1:11" x14ac:dyDescent="0.4">
      <c r="A16" s="1"/>
      <c r="B16" s="5" t="s">
        <v>228</v>
      </c>
      <c r="C16" s="6">
        <f>'Raw Data'!C44</f>
        <v>10723</v>
      </c>
      <c r="D16" s="6">
        <f>'Raw Data'!D44</f>
        <v>13279</v>
      </c>
      <c r="E16" s="6">
        <f>'Raw Data'!E44</f>
        <v>17205</v>
      </c>
      <c r="F16" s="20">
        <f>Drivers!F19*Drivers!F52*Drivers!F41</f>
        <v>18054</v>
      </c>
      <c r="G16" s="20">
        <f t="shared" si="0"/>
        <v>18054</v>
      </c>
      <c r="H16" s="20">
        <f>Drivers!H19*Drivers!H52*Drivers!H41</f>
        <v>19150.74198345</v>
      </c>
      <c r="I16" s="20">
        <f>Drivers!I19*Drivers!I52*Drivers!I41</f>
        <v>22563.619855344332</v>
      </c>
      <c r="J16" s="20">
        <f>Drivers!J19*Drivers!J52*Drivers!J41</f>
        <v>26081.194362497707</v>
      </c>
      <c r="K16" s="20">
        <f>Drivers!K19*Drivers!K52*Drivers!K41</f>
        <v>29548.180088466579</v>
      </c>
    </row>
    <row r="17" spans="1:11" x14ac:dyDescent="0.4">
      <c r="A17" s="1"/>
      <c r="B17" s="5" t="s">
        <v>229</v>
      </c>
      <c r="C17" s="6">
        <f>'Raw Data'!C78</f>
        <v>6485</v>
      </c>
      <c r="D17" s="6">
        <f>'Raw Data'!D78</f>
        <v>7055</v>
      </c>
      <c r="E17" s="6">
        <f>'Raw Data'!E78</f>
        <v>8787</v>
      </c>
      <c r="F17" s="20">
        <f>Drivers!F19*Drivers!F52*Drivers!F42</f>
        <v>9628.8000000000011</v>
      </c>
      <c r="G17" s="20">
        <f t="shared" si="0"/>
        <v>9628.8000000000011</v>
      </c>
      <c r="H17" s="20">
        <f>Drivers!H19*Drivers!H52*Drivers!H42</f>
        <v>10213.729057840001</v>
      </c>
      <c r="I17" s="20">
        <f>Drivers!I19*Drivers!I52*Drivers!I42</f>
        <v>12033.930589516978</v>
      </c>
      <c r="J17" s="20">
        <f>Drivers!J19*Drivers!J52*Drivers!J42</f>
        <v>13909.970326665445</v>
      </c>
      <c r="K17" s="20">
        <f>Drivers!K19*Drivers!K52*Drivers!K42</f>
        <v>15759.029380515509</v>
      </c>
    </row>
    <row r="18" spans="1:11" x14ac:dyDescent="0.4">
      <c r="A18" s="1"/>
      <c r="B18" s="5" t="s">
        <v>230</v>
      </c>
      <c r="C18" s="6">
        <f>'Raw Data'!C79</f>
        <v>8213</v>
      </c>
      <c r="D18" s="6">
        <f>'Raw Data'!D79</f>
        <v>8376</v>
      </c>
      <c r="E18" s="6">
        <f>'Raw Data'!E79</f>
        <v>9523</v>
      </c>
      <c r="F18" s="6">
        <f>Schedules!F13</f>
        <v>9523</v>
      </c>
      <c r="G18" s="20">
        <f t="shared" si="0"/>
        <v>9523</v>
      </c>
      <c r="H18" s="6">
        <f>Schedules!H13</f>
        <v>9523</v>
      </c>
      <c r="I18" s="6">
        <f>Schedules!I13</f>
        <v>9523</v>
      </c>
      <c r="J18" s="6">
        <f>Schedules!J13</f>
        <v>9523</v>
      </c>
      <c r="K18" s="6">
        <f>Schedules!K13</f>
        <v>9523</v>
      </c>
    </row>
    <row r="19" spans="1:11" x14ac:dyDescent="0.4">
      <c r="A19" s="1"/>
      <c r="B19" s="5" t="s">
        <v>231</v>
      </c>
      <c r="C19" s="6">
        <f>'Raw Data'!C49</f>
        <v>10495</v>
      </c>
      <c r="D19" s="6">
        <f>'Raw Data'!D49</f>
        <v>12860</v>
      </c>
      <c r="E19" s="6">
        <f>'Raw Data'!E49</f>
        <v>14874</v>
      </c>
      <c r="F19" s="20">
        <f>Drivers!F19*Drivers!F52*Drivers!F43</f>
        <v>15646.800000000001</v>
      </c>
      <c r="G19" s="20">
        <f t="shared" si="0"/>
        <v>15646.800000000001</v>
      </c>
      <c r="H19" s="20">
        <f>Drivers!H19*Drivers!H52*Drivers!H43</f>
        <v>16597.30971899</v>
      </c>
      <c r="I19" s="20">
        <f>Drivers!I19*Drivers!I52*Drivers!I43</f>
        <v>19555.13720796509</v>
      </c>
      <c r="J19" s="20">
        <f>Drivers!J19*Drivers!J52*Drivers!J43</f>
        <v>22603.701780831347</v>
      </c>
      <c r="K19" s="20">
        <f>Drivers!K19*Drivers!K52*Drivers!K43</f>
        <v>25608.422743337702</v>
      </c>
    </row>
    <row r="20" spans="1:11" x14ac:dyDescent="0.4">
      <c r="A20" s="1"/>
      <c r="B20" s="7" t="s">
        <v>232</v>
      </c>
      <c r="C20" s="6">
        <f>'Raw Data'!C50</f>
        <v>48390</v>
      </c>
      <c r="D20" s="6">
        <f>'Raw Data'!D50</f>
        <v>54941</v>
      </c>
      <c r="E20" s="6">
        <f>'Raw Data'!E50</f>
        <v>67628</v>
      </c>
      <c r="F20" s="30">
        <f>SUM(F15:F19)</f>
        <v>70173.301369863024</v>
      </c>
      <c r="G20" s="20">
        <f t="shared" si="0"/>
        <v>70173.301369863024</v>
      </c>
      <c r="H20" s="30">
        <f>SUM(H15:H19)</f>
        <v>73750.922153268912</v>
      </c>
      <c r="I20" s="30">
        <f>SUM(I15:I19)</f>
        <v>85043.420174990635</v>
      </c>
      <c r="J20" s="30">
        <f>SUM(J15:J19)</f>
        <v>96616.439822305634</v>
      </c>
      <c r="K20" s="30">
        <f>SUM(K15:K19)</f>
        <v>107973.04145139019</v>
      </c>
    </row>
    <row r="21" spans="1:11" x14ac:dyDescent="0.4">
      <c r="A21" s="1"/>
      <c r="B21" s="5" t="s">
        <v>233</v>
      </c>
      <c r="C21" s="6">
        <f>'Raw Data'!C51</f>
        <v>63</v>
      </c>
      <c r="D21" s="6">
        <f>'Raw Data'!D51</f>
        <v>58</v>
      </c>
      <c r="E21" s="6">
        <f>'Raw Data'!E51</f>
        <v>54</v>
      </c>
      <c r="F21" s="20">
        <f>E21</f>
        <v>54</v>
      </c>
      <c r="G21" s="20">
        <f t="shared" si="0"/>
        <v>54</v>
      </c>
      <c r="H21" s="20">
        <f>F21</f>
        <v>54</v>
      </c>
      <c r="I21" s="20">
        <f>H21</f>
        <v>54</v>
      </c>
      <c r="J21" s="20">
        <f>I21</f>
        <v>54</v>
      </c>
      <c r="K21" s="20">
        <f>J21</f>
        <v>54</v>
      </c>
    </row>
    <row r="22" spans="1:11" x14ac:dyDescent="0.4">
      <c r="A22" s="1"/>
      <c r="B22" s="5" t="s">
        <v>234</v>
      </c>
      <c r="C22" s="6">
        <f>'Raw Data'!C80</f>
        <v>37704</v>
      </c>
      <c r="D22" s="6">
        <f>'Raw Data'!D80</f>
        <v>43134</v>
      </c>
      <c r="E22" s="6">
        <f>'Raw Data'!E80</f>
        <v>47908</v>
      </c>
      <c r="F22" s="6">
        <f>Schedules!F17</f>
        <v>49111.6</v>
      </c>
      <c r="G22" s="20">
        <f t="shared" si="0"/>
        <v>49111.6</v>
      </c>
      <c r="H22" s="6">
        <f>Schedules!H17</f>
        <v>54218.464528919998</v>
      </c>
      <c r="I22" s="6">
        <f>Schedules!I17</f>
        <v>59934.581558940561</v>
      </c>
      <c r="J22" s="6">
        <f>Schedules!J17</f>
        <v>66020.193576856691</v>
      </c>
      <c r="K22" s="6">
        <f>Schedules!K17</f>
        <v>71929.829594550014</v>
      </c>
    </row>
    <row r="23" spans="1:11" x14ac:dyDescent="0.4">
      <c r="A23" s="1"/>
      <c r="B23" s="5" t="s">
        <v>235</v>
      </c>
      <c r="C23" s="6">
        <f>'Raw Data'!C52</f>
        <v>35209</v>
      </c>
      <c r="D23" s="6">
        <f>'Raw Data'!D52</f>
        <v>39003</v>
      </c>
      <c r="E23" s="6">
        <f>'Raw Data'!E52</f>
        <v>41381</v>
      </c>
      <c r="F23" s="6">
        <f>Schedules!F21</f>
        <v>42407.566606</v>
      </c>
      <c r="G23" s="20">
        <f t="shared" si="0"/>
        <v>42407.566606</v>
      </c>
      <c r="H23" s="6">
        <f>Schedules!H21</f>
        <v>48105.487419185658</v>
      </c>
      <c r="I23" s="6">
        <f>Schedules!I21</f>
        <v>56426.246853328201</v>
      </c>
      <c r="J23" s="6">
        <f>Schedules!J21</f>
        <v>68297.564912879126</v>
      </c>
      <c r="K23" s="6">
        <f>Schedules!K21</f>
        <v>84513.192014032262</v>
      </c>
    </row>
    <row r="24" spans="1:11" x14ac:dyDescent="0.4">
      <c r="A24" s="1"/>
      <c r="B24" s="7" t="s">
        <v>236</v>
      </c>
      <c r="C24" s="6">
        <f>'Raw Data'!C53</f>
        <v>72913</v>
      </c>
      <c r="D24" s="6">
        <f>'Raw Data'!D53</f>
        <v>82137</v>
      </c>
      <c r="E24" s="6">
        <f>'Raw Data'!E53</f>
        <v>89289</v>
      </c>
      <c r="F24" s="30">
        <f>F22+F23</f>
        <v>91519.166605999999</v>
      </c>
      <c r="G24" s="20">
        <f t="shared" si="0"/>
        <v>91519.166605999999</v>
      </c>
      <c r="H24" s="30">
        <f>H22+H23</f>
        <v>102323.95194810565</v>
      </c>
      <c r="I24" s="30">
        <f>I22+I23</f>
        <v>116360.82841226876</v>
      </c>
      <c r="J24" s="30">
        <f>J22+J23</f>
        <v>134317.75848973583</v>
      </c>
      <c r="K24" s="30">
        <f>K22+K23</f>
        <v>156443.02160858229</v>
      </c>
    </row>
    <row r="25" spans="1:11" x14ac:dyDescent="0.4">
      <c r="A25" s="1"/>
      <c r="B25" s="5" t="s">
        <v>237</v>
      </c>
      <c r="C25" s="6">
        <f>'Raw Data'!C54</f>
        <v>704</v>
      </c>
      <c r="D25" s="6">
        <f>'Raw Data'!D54</f>
        <v>670</v>
      </c>
      <c r="E25" s="6">
        <f>'Raw Data'!E54</f>
        <v>546</v>
      </c>
      <c r="F25" s="6">
        <f>Schedules!F25</f>
        <v>546</v>
      </c>
      <c r="G25" s="20">
        <f t="shared" si="0"/>
        <v>546</v>
      </c>
      <c r="H25" s="6">
        <f>Schedules!H25</f>
        <v>546</v>
      </c>
      <c r="I25" s="6">
        <f>Schedules!I25</f>
        <v>546</v>
      </c>
      <c r="J25" s="6">
        <f>Schedules!J25</f>
        <v>546</v>
      </c>
      <c r="K25" s="6">
        <f>Schedules!K25</f>
        <v>546</v>
      </c>
    </row>
    <row r="26" spans="1:11" x14ac:dyDescent="0.4">
      <c r="A26" s="1"/>
      <c r="B26" s="7" t="s">
        <v>238</v>
      </c>
      <c r="C26" s="30">
        <f>C24+C25</f>
        <v>73617</v>
      </c>
      <c r="D26" s="30">
        <f>D24+D25</f>
        <v>82807</v>
      </c>
      <c r="E26" s="30">
        <f>E24+E25</f>
        <v>89835</v>
      </c>
      <c r="F26" s="30">
        <f>F24+F25</f>
        <v>92065.166605999999</v>
      </c>
      <c r="G26" s="20">
        <f t="shared" si="0"/>
        <v>92065.166605999999</v>
      </c>
      <c r="H26" s="30">
        <f>H24+H25</f>
        <v>102869.95194810565</v>
      </c>
      <c r="I26" s="30">
        <f>I24+I25</f>
        <v>116906.82841226876</v>
      </c>
      <c r="J26" s="30">
        <f>J24+J25</f>
        <v>134863.75848973583</v>
      </c>
      <c r="K26" s="30">
        <f>K24+K25</f>
        <v>156989.02160858229</v>
      </c>
    </row>
    <row r="27" spans="1:11" x14ac:dyDescent="0.4">
      <c r="A27" s="1"/>
      <c r="B27" s="7" t="s">
        <v>239</v>
      </c>
      <c r="C27" s="6">
        <f>'Raw Data'!C55</f>
        <v>122070</v>
      </c>
      <c r="D27" s="6">
        <f>'Raw Data'!D55</f>
        <v>137806</v>
      </c>
      <c r="E27" s="6">
        <f>'Raw Data'!E55</f>
        <v>157517</v>
      </c>
      <c r="F27" s="30">
        <f>F20+F21+F26</f>
        <v>162292.46797586302</v>
      </c>
      <c r="G27" s="20">
        <f t="shared" si="0"/>
        <v>162292.46797586302</v>
      </c>
      <c r="H27" s="30">
        <f>H20+H21+H26</f>
        <v>176674.87410137456</v>
      </c>
      <c r="I27" s="30">
        <f>I20+I21+I26</f>
        <v>202004.24858725938</v>
      </c>
      <c r="J27" s="30">
        <f>J20+J21+J26</f>
        <v>231534.19831204147</v>
      </c>
      <c r="K27" s="30">
        <f>K20+K21+K26</f>
        <v>265016.06305997248</v>
      </c>
    </row>
    <row r="28" spans="1:11" x14ac:dyDescent="0.4">
      <c r="A28" s="1"/>
      <c r="B28" s="5" t="s">
        <v>240</v>
      </c>
      <c r="C28" s="7" t="str">
        <f t="shared" ref="C28:K28" si="1">IF(ABS(C14-C27)&lt;0.1,"Check","Error")</f>
        <v>Check</v>
      </c>
      <c r="D28" s="7" t="str">
        <f t="shared" si="1"/>
        <v>Check</v>
      </c>
      <c r="E28" s="7" t="str">
        <f t="shared" si="1"/>
        <v>Check</v>
      </c>
      <c r="F28" s="7" t="str">
        <f t="shared" si="1"/>
        <v>Check</v>
      </c>
      <c r="G28" s="7" t="str">
        <f t="shared" si="1"/>
        <v>Check</v>
      </c>
      <c r="H28" s="7" t="str">
        <f t="shared" si="1"/>
        <v>Check</v>
      </c>
      <c r="I28" s="7" t="str">
        <f t="shared" si="1"/>
        <v>Check</v>
      </c>
      <c r="J28" s="7" t="str">
        <f t="shared" si="1"/>
        <v>Check</v>
      </c>
      <c r="K28" s="7" t="str">
        <f t="shared" si="1"/>
        <v>Check</v>
      </c>
    </row>
    <row r="29" spans="1:11" x14ac:dyDescent="0.4">
      <c r="A29" s="1"/>
      <c r="B29" s="5" t="s">
        <v>241</v>
      </c>
      <c r="C29" s="1"/>
      <c r="D29" s="1"/>
      <c r="E29" s="1"/>
      <c r="F29" s="7" t="str">
        <f>IF(ABS(F6-CF!F31)&lt;0.1,"Check","Error")</f>
        <v>Check</v>
      </c>
      <c r="G29" s="7" t="str">
        <f>IF(ABS(G6-CF!G31)&lt;0.1,"Check","Error")</f>
        <v>Check</v>
      </c>
      <c r="H29" s="7" t="str">
        <f>IF(ABS(H6-CF!H31)&lt;0.1,"Check","Error")</f>
        <v>Check</v>
      </c>
      <c r="I29" s="7" t="str">
        <f>IF(ABS(I6-CF!I31)&lt;0.1,"Check","Error")</f>
        <v>Check</v>
      </c>
      <c r="J29" s="7" t="str">
        <f>IF(ABS(J6-CF!J31)&lt;0.1,"Check","Error")</f>
        <v>Check</v>
      </c>
      <c r="K29" s="7" t="str">
        <f>IF(ABS(K6-CF!K31)&lt;0.1,"Check","Error")</f>
        <v>Check</v>
      </c>
    </row>
    <row r="30" spans="1:1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3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242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243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26" t="s">
        <v>173</v>
      </c>
      <c r="C5" s="26" t="s">
        <v>19</v>
      </c>
      <c r="D5" s="26" t="s">
        <v>20</v>
      </c>
      <c r="E5" s="26" t="s">
        <v>21</v>
      </c>
      <c r="F5" s="26" t="s">
        <v>22</v>
      </c>
      <c r="G5" s="26" t="s">
        <v>23</v>
      </c>
      <c r="H5" s="26" t="s">
        <v>24</v>
      </c>
      <c r="I5" s="26" t="s">
        <v>25</v>
      </c>
      <c r="J5" s="26" t="s">
        <v>26</v>
      </c>
      <c r="K5" s="26" t="s">
        <v>27</v>
      </c>
    </row>
    <row r="6" spans="1:11" x14ac:dyDescent="0.4">
      <c r="A6" s="1"/>
      <c r="B6" s="5" t="s">
        <v>210</v>
      </c>
      <c r="C6" s="6">
        <f>'Raw Data'!C56</f>
        <v>7153</v>
      </c>
      <c r="D6" s="6">
        <f>'Raw Data'!D56</f>
        <v>3855</v>
      </c>
      <c r="E6" s="6">
        <f>'Raw Data'!E56</f>
        <v>2423</v>
      </c>
      <c r="F6" s="6">
        <f>IS!F24</f>
        <v>1042.1996000000011</v>
      </c>
      <c r="G6" s="20">
        <f t="shared" ref="G6:G29" si="0">E6+F6</f>
        <v>3465.1996000000008</v>
      </c>
      <c r="H6" s="6">
        <f>IS!H24</f>
        <v>5784.6911808991435</v>
      </c>
      <c r="I6" s="6">
        <f>IS!I24</f>
        <v>8447.4715067436991</v>
      </c>
      <c r="J6" s="6">
        <f>IS!J24</f>
        <v>12052.099552843578</v>
      </c>
      <c r="K6" s="6">
        <f>IS!K24</f>
        <v>16462.565584927041</v>
      </c>
    </row>
    <row r="7" spans="1:11" x14ac:dyDescent="0.4">
      <c r="A7" s="1"/>
      <c r="B7" s="5" t="s">
        <v>244</v>
      </c>
      <c r="C7" s="6">
        <f>'Raw Data'!C57</f>
        <v>5368</v>
      </c>
      <c r="D7" s="6">
        <f>'Raw Data'!D57</f>
        <v>6148</v>
      </c>
      <c r="E7" s="6">
        <f>'Raw Data'!E57</f>
        <v>5061</v>
      </c>
      <c r="F7" s="6">
        <f>Schedules!F8</f>
        <v>1890.912</v>
      </c>
      <c r="G7" s="20">
        <f t="shared" si="0"/>
        <v>6951.9120000000003</v>
      </c>
      <c r="H7" s="6">
        <f>Schedules!H8</f>
        <v>7704.0105599999997</v>
      </c>
      <c r="I7" s="6">
        <f>Schedules!I8</f>
        <v>9419.5292927999999</v>
      </c>
      <c r="J7" s="6">
        <f>Schedules!J8</f>
        <v>11169.185777664001</v>
      </c>
      <c r="K7" s="6">
        <f>Schedules!K8</f>
        <v>12468.883484344322</v>
      </c>
    </row>
    <row r="8" spans="1:11" x14ac:dyDescent="0.4">
      <c r="A8" s="1"/>
      <c r="B8" s="5" t="s">
        <v>245</v>
      </c>
      <c r="C8" s="6">
        <f>'Raw Data'!C58</f>
        <v>1999</v>
      </c>
      <c r="D8" s="6">
        <f>'Raw Data'!D58</f>
        <v>2825</v>
      </c>
      <c r="E8" s="6">
        <f>'Raw Data'!E58</f>
        <v>3346</v>
      </c>
      <c r="F8" s="6">
        <f>Schedules!F15</f>
        <v>1203.6000000000001</v>
      </c>
      <c r="G8" s="20">
        <f t="shared" si="0"/>
        <v>4549.6000000000004</v>
      </c>
      <c r="H8" s="6">
        <f>Schedules!H15</f>
        <v>5106.8645289200003</v>
      </c>
      <c r="I8" s="6">
        <f>Schedules!I15</f>
        <v>5716.117030020564</v>
      </c>
      <c r="J8" s="6">
        <f>Schedules!J15</f>
        <v>6085.6120179161326</v>
      </c>
      <c r="K8" s="6">
        <f>Schedules!K15</f>
        <v>5909.6360176933158</v>
      </c>
    </row>
    <row r="9" spans="1:11" x14ac:dyDescent="0.4">
      <c r="A9" s="1"/>
      <c r="B9" s="5" t="s">
        <v>246</v>
      </c>
      <c r="C9" s="20">
        <f>C17-C6-C7-C8-SUM(C10:C15)</f>
        <v>322</v>
      </c>
      <c r="D9" s="20">
        <f>D17-D6-D7-D8-SUM(D10:D15)</f>
        <v>1277</v>
      </c>
      <c r="E9" s="20">
        <f>E17-E6-E7-E8-SUM(E10:E15)</f>
        <v>-301</v>
      </c>
      <c r="F9" s="20">
        <f>0</f>
        <v>0</v>
      </c>
      <c r="G9" s="20">
        <f t="shared" si="0"/>
        <v>-301</v>
      </c>
      <c r="H9" s="20">
        <f>0</f>
        <v>0</v>
      </c>
      <c r="I9" s="20">
        <f>0</f>
        <v>0</v>
      </c>
      <c r="J9" s="20">
        <f>0</f>
        <v>0</v>
      </c>
      <c r="K9" s="20">
        <f>0</f>
        <v>0</v>
      </c>
    </row>
    <row r="10" spans="1:11" x14ac:dyDescent="0.4">
      <c r="A10" s="1"/>
      <c r="B10" s="5" t="s">
        <v>247</v>
      </c>
      <c r="C10" s="6">
        <f>'Raw Data'!C59</f>
        <v>-1083</v>
      </c>
      <c r="D10" s="6">
        <f>'Raw Data'!D59</f>
        <v>-261</v>
      </c>
      <c r="E10" s="6">
        <f>'Raw Data'!E59</f>
        <v>-188</v>
      </c>
      <c r="F10" s="20">
        <f>-(BS!F8-BS!E8)</f>
        <v>-310.30136986301386</v>
      </c>
      <c r="G10" s="20">
        <f t="shared" si="0"/>
        <v>-498.30136986301386</v>
      </c>
      <c r="H10" s="20">
        <f>-(BS!H8-BS!F8)</f>
        <v>-300.47725573972639</v>
      </c>
      <c r="I10" s="20">
        <f>-(BS!I8-BS!H8)</f>
        <v>-935.03503339570671</v>
      </c>
      <c r="J10" s="20">
        <f>-(BS!J8-BS!I8)</f>
        <v>-963.71904305571934</v>
      </c>
      <c r="K10" s="20">
        <f>-(BS!K8-BS!J8)</f>
        <v>-949.85910300517025</v>
      </c>
    </row>
    <row r="11" spans="1:11" x14ac:dyDescent="0.4">
      <c r="A11" s="1"/>
      <c r="B11" s="5" t="s">
        <v>248</v>
      </c>
      <c r="C11" s="6">
        <f>'Raw Data'!C60</f>
        <v>937</v>
      </c>
      <c r="D11" s="6">
        <f>'Raw Data'!D60</f>
        <v>-630</v>
      </c>
      <c r="E11" s="6">
        <f>'Raw Data'!E60</f>
        <v>-1976</v>
      </c>
      <c r="F11" s="20">
        <f>-(BS!F9-BS!E9)</f>
        <v>-563.97808219178114</v>
      </c>
      <c r="G11" s="20">
        <f t="shared" si="0"/>
        <v>-2539.9780821917811</v>
      </c>
      <c r="H11" s="20">
        <f>-(BS!H9-BS!F9)</f>
        <v>-799.98771187575221</v>
      </c>
      <c r="I11" s="20">
        <f>-(BS!I9-BS!H9)</f>
        <v>-2624.4232631483628</v>
      </c>
      <c r="J11" s="20">
        <f>-(BS!J9-BS!I9)</f>
        <v>-2649.1730101242974</v>
      </c>
      <c r="K11" s="20">
        <f>-(BS!K9-BS!J9)</f>
        <v>-2568.7842118732369</v>
      </c>
    </row>
    <row r="12" spans="1:11" x14ac:dyDescent="0.4">
      <c r="A12" s="1"/>
      <c r="B12" s="5" t="s">
        <v>249</v>
      </c>
      <c r="C12" s="6">
        <f>'Raw Data'!C61</f>
        <v>-590</v>
      </c>
      <c r="D12" s="6">
        <f>'Raw Data'!D61</f>
        <v>-25</v>
      </c>
      <c r="E12" s="6">
        <f>'Raw Data'!E61</f>
        <v>300</v>
      </c>
      <c r="F12" s="20">
        <f>0</f>
        <v>0</v>
      </c>
      <c r="G12" s="20">
        <f t="shared" si="0"/>
        <v>300</v>
      </c>
      <c r="H12" s="20">
        <f>0</f>
        <v>0</v>
      </c>
      <c r="I12" s="20">
        <f>0</f>
        <v>0</v>
      </c>
      <c r="J12" s="20">
        <f>0</f>
        <v>0</v>
      </c>
      <c r="K12" s="20">
        <f>0</f>
        <v>0</v>
      </c>
    </row>
    <row r="13" spans="1:11" x14ac:dyDescent="0.4">
      <c r="A13" s="1"/>
      <c r="B13" s="5" t="s">
        <v>250</v>
      </c>
      <c r="C13" s="6">
        <f>'Raw Data'!C62</f>
        <v>-3273</v>
      </c>
      <c r="D13" s="6">
        <f>'Raw Data'!D62</f>
        <v>-3181</v>
      </c>
      <c r="E13" s="6">
        <f>'Raw Data'!E62</f>
        <v>-2846</v>
      </c>
      <c r="F13" s="20">
        <f>-(BS!F10-BS!E10)</f>
        <v>-392.80000000000018</v>
      </c>
      <c r="G13" s="20">
        <f t="shared" si="0"/>
        <v>-3238.8</v>
      </c>
      <c r="H13" s="20">
        <f>-(BS!H10-BS!F10)</f>
        <v>-402.13872726499994</v>
      </c>
      <c r="I13" s="20">
        <f>-(BS!I10-BS!H10)</f>
        <v>-1251.3885530279222</v>
      </c>
      <c r="J13" s="20">
        <f>-(BS!J10-BS!I10)</f>
        <v>-1289.7773192895711</v>
      </c>
      <c r="K13" s="20">
        <f>-(BS!K10-BS!J10)</f>
        <v>-1271.2280995219189</v>
      </c>
    </row>
    <row r="14" spans="1:11" x14ac:dyDescent="0.4">
      <c r="A14" s="1"/>
      <c r="B14" s="5" t="s">
        <v>251</v>
      </c>
      <c r="C14" s="6">
        <f>'Raw Data'!C63</f>
        <v>3588</v>
      </c>
      <c r="D14" s="6">
        <f>'Raw Data'!D63</f>
        <v>4376</v>
      </c>
      <c r="E14" s="6">
        <f>'Raw Data'!E63</f>
        <v>7332</v>
      </c>
      <c r="F14" s="20">
        <f>(BS!F15-BS!E15)+(BS!F16-BS!E16)</f>
        <v>930.70136986301441</v>
      </c>
      <c r="G14" s="20">
        <f t="shared" si="0"/>
        <v>8262.7013698630144</v>
      </c>
      <c r="H14" s="20">
        <f>(BS!H15-BS!F15)+(BS!H16-BS!F16)</f>
        <v>2042.1820065758911</v>
      </c>
      <c r="I14" s="20">
        <f>(BS!I15-BS!H15)+(BS!I16-BS!H16)</f>
        <v>6514.469001069665</v>
      </c>
      <c r="J14" s="20">
        <f>(BS!J15-BS!I15)+(BS!J16-BS!I16)</f>
        <v>6648.41533730027</v>
      </c>
      <c r="K14" s="20">
        <f>(BS!K15-BS!J15)+(BS!K16-BS!J16)</f>
        <v>6502.8216127281557</v>
      </c>
    </row>
    <row r="15" spans="1:11" x14ac:dyDescent="0.4">
      <c r="A15" s="1"/>
      <c r="B15" s="5" t="s">
        <v>252</v>
      </c>
      <c r="C15" s="6">
        <f>'Raw Data'!C64</f>
        <v>502</v>
      </c>
      <c r="D15" s="6">
        <f>'Raw Data'!D64</f>
        <v>363</v>
      </c>
      <c r="E15" s="6">
        <f>'Raw Data'!E64</f>
        <v>1746</v>
      </c>
      <c r="F15" s="20">
        <f>(BS!F17-BS!E17)</f>
        <v>841.80000000000109</v>
      </c>
      <c r="G15" s="20">
        <f t="shared" si="0"/>
        <v>2587.8000000000011</v>
      </c>
      <c r="H15" s="20">
        <f>(BS!H17-BS!F17)</f>
        <v>584.92905783999959</v>
      </c>
      <c r="I15" s="20">
        <f>(BS!I17-BS!H17)</f>
        <v>1820.2015316769775</v>
      </c>
      <c r="J15" s="20">
        <f>(BS!J17-BS!I17)</f>
        <v>1876.0397371484669</v>
      </c>
      <c r="K15" s="20">
        <f>(BS!K17-BS!J17)</f>
        <v>1849.0590538500637</v>
      </c>
    </row>
    <row r="16" spans="1:11" x14ac:dyDescent="0.4">
      <c r="A16" s="1"/>
      <c r="B16" s="5" t="s">
        <v>253</v>
      </c>
      <c r="C16" s="35">
        <v>0</v>
      </c>
      <c r="D16" s="35">
        <v>0</v>
      </c>
      <c r="E16" s="35">
        <v>0</v>
      </c>
      <c r="F16" s="20">
        <f>(BS!F19-BS!E19)</f>
        <v>772.80000000000109</v>
      </c>
      <c r="G16" s="20">
        <f t="shared" si="0"/>
        <v>772.80000000000109</v>
      </c>
      <c r="H16" s="20">
        <f>(BS!H19-BS!F19)</f>
        <v>950.50971898999887</v>
      </c>
      <c r="I16" s="20">
        <f>(BS!I19-BS!H19)</f>
        <v>2957.8274889750901</v>
      </c>
      <c r="J16" s="20">
        <f>(BS!J19-BS!I19)</f>
        <v>3048.5645728662566</v>
      </c>
      <c r="K16" s="20">
        <f>(BS!K19-BS!J19)</f>
        <v>3004.7209625063551</v>
      </c>
    </row>
    <row r="17" spans="1:11" x14ac:dyDescent="0.4">
      <c r="A17" s="1"/>
      <c r="B17" s="7" t="s">
        <v>254</v>
      </c>
      <c r="C17" s="6">
        <f>'Raw Data'!C65</f>
        <v>14923</v>
      </c>
      <c r="D17" s="6">
        <f>'Raw Data'!D65</f>
        <v>14747</v>
      </c>
      <c r="E17" s="6">
        <f>'Raw Data'!E65</f>
        <v>14897</v>
      </c>
      <c r="F17" s="30">
        <f>SUM(F6:F16)</f>
        <v>5414.9335178082229</v>
      </c>
      <c r="G17" s="20">
        <f t="shared" si="0"/>
        <v>20311.933517808222</v>
      </c>
      <c r="H17" s="30">
        <f>SUM(H6:H16)</f>
        <v>20670.583358344556</v>
      </c>
      <c r="I17" s="30">
        <f>SUM(I6:I16)</f>
        <v>30064.769001713998</v>
      </c>
      <c r="J17" s="30">
        <f>SUM(J6:J16)</f>
        <v>35977.247623269112</v>
      </c>
      <c r="K17" s="30">
        <f>SUM(K6:K16)</f>
        <v>41407.81530164893</v>
      </c>
    </row>
    <row r="18" spans="1:11" x14ac:dyDescent="0.4">
      <c r="A18" s="1"/>
      <c r="B18" s="5" t="s">
        <v>133</v>
      </c>
      <c r="C18" s="6">
        <f>'Raw Data'!C66</f>
        <v>-11342</v>
      </c>
      <c r="D18" s="6">
        <f>'Raw Data'!D66</f>
        <v>-8527</v>
      </c>
      <c r="E18" s="6">
        <f>'Raw Data'!E66</f>
        <v>-13014</v>
      </c>
      <c r="F18" s="20">
        <f>-Schedules!F7</f>
        <v>-7000</v>
      </c>
      <c r="G18" s="20">
        <f t="shared" si="0"/>
        <v>-20014</v>
      </c>
      <c r="H18" s="20">
        <f>-Schedules!H7</f>
        <v>-22000</v>
      </c>
      <c r="I18" s="20">
        <f>-Schedules!I7</f>
        <v>-24000</v>
      </c>
      <c r="J18" s="20">
        <f>-Schedules!J7</f>
        <v>-22000</v>
      </c>
      <c r="K18" s="20">
        <f>-Schedules!K7</f>
        <v>-20000</v>
      </c>
    </row>
    <row r="19" spans="1:11" x14ac:dyDescent="0.4">
      <c r="A19" s="1"/>
      <c r="B19" s="5" t="s">
        <v>255</v>
      </c>
      <c r="C19" s="20">
        <f>C21-C18</f>
        <v>-7445</v>
      </c>
      <c r="D19" s="20">
        <f>D21-D18</f>
        <v>-6951</v>
      </c>
      <c r="E19" s="20">
        <f>E21-E18</f>
        <v>-1914</v>
      </c>
      <c r="F19" s="20">
        <f>-(BS!F7-BS!E7)</f>
        <v>0</v>
      </c>
      <c r="G19" s="20">
        <f t="shared" si="0"/>
        <v>-1914</v>
      </c>
      <c r="H19" s="20">
        <f>-(BS!H7-BS!F7)</f>
        <v>0</v>
      </c>
      <c r="I19" s="20">
        <f>-(BS!I7-BS!H7)</f>
        <v>0</v>
      </c>
      <c r="J19" s="20">
        <f>-(BS!J7-BS!I7)</f>
        <v>0</v>
      </c>
      <c r="K19" s="20">
        <f>-(BS!K7-BS!J7)</f>
        <v>0</v>
      </c>
    </row>
    <row r="20" spans="1:11" x14ac:dyDescent="0.4">
      <c r="A20" s="1"/>
      <c r="B20" s="5" t="s">
        <v>256</v>
      </c>
      <c r="C20" s="35">
        <v>0</v>
      </c>
      <c r="D20" s="35">
        <v>0</v>
      </c>
      <c r="E20" s="35">
        <v>0</v>
      </c>
      <c r="F20" s="20">
        <f>0</f>
        <v>0</v>
      </c>
      <c r="G20" s="20">
        <f t="shared" si="0"/>
        <v>0</v>
      </c>
      <c r="H20" s="20">
        <f>0</f>
        <v>0</v>
      </c>
      <c r="I20" s="20">
        <f>0</f>
        <v>0</v>
      </c>
      <c r="J20" s="20">
        <f>0</f>
        <v>0</v>
      </c>
      <c r="K20" s="20">
        <f>0</f>
        <v>0</v>
      </c>
    </row>
    <row r="21" spans="1:11" x14ac:dyDescent="0.4">
      <c r="A21" s="1"/>
      <c r="B21" s="7" t="s">
        <v>257</v>
      </c>
      <c r="C21" s="6">
        <f>'Raw Data'!C67</f>
        <v>-18787</v>
      </c>
      <c r="D21" s="6">
        <f>'Raw Data'!D67</f>
        <v>-15478</v>
      </c>
      <c r="E21" s="6">
        <f>'Raw Data'!E67</f>
        <v>-14928</v>
      </c>
      <c r="F21" s="30">
        <f>SUM(F18:F20)</f>
        <v>-7000</v>
      </c>
      <c r="G21" s="20">
        <f t="shared" si="0"/>
        <v>-21928</v>
      </c>
      <c r="H21" s="30">
        <f>SUM(H18:H20)</f>
        <v>-22000</v>
      </c>
      <c r="I21" s="30">
        <f>SUM(I18:I20)</f>
        <v>-24000</v>
      </c>
      <c r="J21" s="30">
        <f>SUM(J18:J20)</f>
        <v>-22000</v>
      </c>
      <c r="K21" s="30">
        <f>SUM(K18:K20)</f>
        <v>-20000</v>
      </c>
    </row>
    <row r="22" spans="1:11" x14ac:dyDescent="0.4">
      <c r="A22" s="1"/>
      <c r="B22" s="5" t="s">
        <v>258</v>
      </c>
      <c r="C22" s="6">
        <f>'Raw Data'!C68</f>
        <v>5744</v>
      </c>
      <c r="D22" s="6">
        <f>'Raw Data'!D68</f>
        <v>5586</v>
      </c>
      <c r="E22" s="6">
        <f>'Raw Data'!E68</f>
        <v>5834</v>
      </c>
      <c r="F22" s="6">
        <f>Schedules!F11</f>
        <v>0</v>
      </c>
      <c r="G22" s="20">
        <f t="shared" si="0"/>
        <v>5834</v>
      </c>
      <c r="H22" s="6">
        <f>Schedules!H11</f>
        <v>0</v>
      </c>
      <c r="I22" s="6">
        <f>Schedules!I11</f>
        <v>0</v>
      </c>
      <c r="J22" s="6">
        <f>Schedules!J11</f>
        <v>0</v>
      </c>
      <c r="K22" s="6">
        <f>Schedules!K11</f>
        <v>0</v>
      </c>
    </row>
    <row r="23" spans="1:11" x14ac:dyDescent="0.4">
      <c r="A23" s="1"/>
      <c r="B23" s="5" t="s">
        <v>259</v>
      </c>
      <c r="C23" s="6">
        <f>'Raw Data'!C69</f>
        <v>-2500</v>
      </c>
      <c r="D23" s="6">
        <f>'Raw Data'!D69</f>
        <v>-5546</v>
      </c>
      <c r="E23" s="6">
        <f>'Raw Data'!E69</f>
        <v>-4954</v>
      </c>
      <c r="F23" s="20">
        <f>-Schedules!F12</f>
        <v>0</v>
      </c>
      <c r="G23" s="20">
        <f t="shared" si="0"/>
        <v>-4954</v>
      </c>
      <c r="H23" s="20">
        <f>-Schedules!H12</f>
        <v>0</v>
      </c>
      <c r="I23" s="20">
        <f>-Schedules!I12</f>
        <v>0</v>
      </c>
      <c r="J23" s="20">
        <f>-Schedules!J12</f>
        <v>0</v>
      </c>
      <c r="K23" s="20">
        <f>-Schedules!K12</f>
        <v>0</v>
      </c>
    </row>
    <row r="24" spans="1:11" x14ac:dyDescent="0.4">
      <c r="A24" s="1"/>
      <c r="B24" s="5" t="s">
        <v>260</v>
      </c>
      <c r="C24" s="6">
        <f>'Raw Data'!C70</f>
        <v>1241</v>
      </c>
      <c r="D24" s="6">
        <f>'Raw Data'!D70</f>
        <v>1186</v>
      </c>
      <c r="E24" s="6">
        <f>'Raw Data'!E70</f>
        <v>782</v>
      </c>
      <c r="F24" s="6">
        <f>Schedules!F16</f>
        <v>0</v>
      </c>
      <c r="G24" s="20">
        <f t="shared" si="0"/>
        <v>782</v>
      </c>
      <c r="H24" s="6">
        <f>Schedules!H16</f>
        <v>0</v>
      </c>
      <c r="I24" s="6">
        <f>Schedules!I16</f>
        <v>0</v>
      </c>
      <c r="J24" s="6">
        <f>Schedules!J16</f>
        <v>0</v>
      </c>
      <c r="K24" s="6">
        <f>Schedules!K16</f>
        <v>0</v>
      </c>
    </row>
    <row r="25" spans="1:11" x14ac:dyDescent="0.4">
      <c r="A25" s="1"/>
      <c r="B25" s="5" t="s">
        <v>261</v>
      </c>
      <c r="C25" s="6">
        <f>'Raw Data'!C71</f>
        <v>-104</v>
      </c>
      <c r="D25" s="6">
        <f>'Raw Data'!D71</f>
        <v>-78</v>
      </c>
      <c r="E25" s="6">
        <f>'Raw Data'!E71</f>
        <v>-126</v>
      </c>
      <c r="F25" s="20">
        <f>-Schedules!F24</f>
        <v>-15.632994000000016</v>
      </c>
      <c r="G25" s="20">
        <f t="shared" si="0"/>
        <v>-141.63299400000002</v>
      </c>
      <c r="H25" s="20">
        <f>-Schedules!H24</f>
        <v>-86.770367713487147</v>
      </c>
      <c r="I25" s="20">
        <f>-Schedules!I24</f>
        <v>-126.71207260115548</v>
      </c>
      <c r="J25" s="20">
        <f>-Schedules!J24</f>
        <v>-180.78149329265366</v>
      </c>
      <c r="K25" s="20">
        <f>-Schedules!K24</f>
        <v>-246.9384837739056</v>
      </c>
    </row>
    <row r="26" spans="1:11" x14ac:dyDescent="0.4">
      <c r="A26" s="1"/>
      <c r="B26" s="7" t="s">
        <v>262</v>
      </c>
      <c r="C26" s="6">
        <f>'Raw Data'!C72</f>
        <v>3853</v>
      </c>
      <c r="D26" s="6">
        <f>'Raw Data'!D72</f>
        <v>1139</v>
      </c>
      <c r="E26" s="6">
        <f>'Raw Data'!E72</f>
        <v>1536</v>
      </c>
      <c r="F26" s="30">
        <f>SUM(F22:F25)</f>
        <v>-15.632994000000016</v>
      </c>
      <c r="G26" s="20">
        <f t="shared" si="0"/>
        <v>1520.3670059999999</v>
      </c>
      <c r="H26" s="30">
        <f>SUM(H22:H25)</f>
        <v>-86.770367713487147</v>
      </c>
      <c r="I26" s="30">
        <f>SUM(I22:I25)</f>
        <v>-126.71207260115548</v>
      </c>
      <c r="J26" s="30">
        <f>SUM(J22:J25)</f>
        <v>-180.78149329265366</v>
      </c>
      <c r="K26" s="30">
        <f>SUM(K22:K25)</f>
        <v>-246.9384837739056</v>
      </c>
    </row>
    <row r="27" spans="1:11" x14ac:dyDescent="0.4">
      <c r="A27" s="1"/>
      <c r="B27" s="5" t="s">
        <v>263</v>
      </c>
      <c r="C27" s="6">
        <f>'Raw Data'!C73</f>
        <v>-141</v>
      </c>
      <c r="D27" s="6">
        <f>'Raw Data'!D73</f>
        <v>171</v>
      </c>
      <c r="E27" s="6">
        <f>'Raw Data'!E73</f>
        <v>-115</v>
      </c>
      <c r="F27" s="20">
        <f>0</f>
        <v>0</v>
      </c>
      <c r="G27" s="20">
        <f t="shared" si="0"/>
        <v>-115</v>
      </c>
      <c r="H27" s="20">
        <f>0</f>
        <v>0</v>
      </c>
      <c r="I27" s="20">
        <f>0</f>
        <v>0</v>
      </c>
      <c r="J27" s="20">
        <f>0</f>
        <v>0</v>
      </c>
      <c r="K27" s="20">
        <f>0</f>
        <v>0</v>
      </c>
    </row>
    <row r="28" spans="1:11" x14ac:dyDescent="0.4">
      <c r="A28" s="1"/>
      <c r="B28" s="5" t="s">
        <v>264</v>
      </c>
      <c r="C28" s="35">
        <v>0</v>
      </c>
      <c r="D28" s="35">
        <v>0</v>
      </c>
      <c r="E28" s="35">
        <v>0</v>
      </c>
      <c r="F28" s="20">
        <f>0</f>
        <v>0</v>
      </c>
      <c r="G28" s="20">
        <f t="shared" si="0"/>
        <v>0</v>
      </c>
      <c r="H28" s="20">
        <f>0</f>
        <v>0</v>
      </c>
      <c r="I28" s="20">
        <f>0</f>
        <v>0</v>
      </c>
      <c r="J28" s="20">
        <f>0</f>
        <v>0</v>
      </c>
      <c r="K28" s="20">
        <f>0</f>
        <v>0</v>
      </c>
    </row>
    <row r="29" spans="1:11" x14ac:dyDescent="0.4">
      <c r="A29" s="1"/>
      <c r="B29" s="7" t="s">
        <v>265</v>
      </c>
      <c r="C29" s="20">
        <f>C31-C30</f>
        <v>16139</v>
      </c>
      <c r="D29" s="20">
        <f>D31-D30</f>
        <v>374</v>
      </c>
      <c r="E29" s="20">
        <f>E31-E30</f>
        <v>1340</v>
      </c>
      <c r="F29" s="30">
        <f>F17+F21+F26+F27+F28</f>
        <v>-1600.6994761917772</v>
      </c>
      <c r="G29" s="20">
        <f t="shared" si="0"/>
        <v>-260.69947619177719</v>
      </c>
      <c r="H29" s="30">
        <f>H17+H21+H26+H27+H28</f>
        <v>-1416.1870093689306</v>
      </c>
      <c r="I29" s="30">
        <f>I17+I21+I26+I27+I28</f>
        <v>5938.0569291128422</v>
      </c>
      <c r="J29" s="30">
        <f>J17+J21+J26+J27+J28</f>
        <v>13796.466129976458</v>
      </c>
      <c r="K29" s="30">
        <f>K17+K21+K26+K27+K28</f>
        <v>21160.876817875025</v>
      </c>
    </row>
    <row r="30" spans="1:11" x14ac:dyDescent="0.4">
      <c r="A30" s="1"/>
      <c r="B30" s="5" t="s">
        <v>266</v>
      </c>
      <c r="C30" s="1"/>
      <c r="D30" s="20">
        <f>C31</f>
        <v>16139</v>
      </c>
      <c r="E30" s="20">
        <f>D31</f>
        <v>16513</v>
      </c>
      <c r="F30" s="6">
        <f>BS!E6</f>
        <v>17853</v>
      </c>
      <c r="G30" s="20">
        <f>D31</f>
        <v>16513</v>
      </c>
      <c r="H30" s="6">
        <f>BS!F6</f>
        <v>16252.300523808222</v>
      </c>
      <c r="I30" s="6">
        <f>BS!H6</f>
        <v>14836.113514439292</v>
      </c>
      <c r="J30" s="6">
        <f>BS!I6</f>
        <v>20774.170443552135</v>
      </c>
      <c r="K30" s="6">
        <f>BS!J6</f>
        <v>34570.636573528594</v>
      </c>
    </row>
    <row r="31" spans="1:11" x14ac:dyDescent="0.4">
      <c r="A31" s="1"/>
      <c r="B31" s="7" t="s">
        <v>267</v>
      </c>
      <c r="C31" s="6">
        <f>BS!C6</f>
        <v>16139</v>
      </c>
      <c r="D31" s="6">
        <f>BS!D6</f>
        <v>16513</v>
      </c>
      <c r="E31" s="6">
        <f>BS!E6</f>
        <v>17853</v>
      </c>
      <c r="F31" s="30">
        <f>F30+F29</f>
        <v>16252.300523808222</v>
      </c>
      <c r="G31" s="20">
        <f>F31</f>
        <v>16252.300523808222</v>
      </c>
      <c r="H31" s="30">
        <f>H30+H29</f>
        <v>14836.113514439292</v>
      </c>
      <c r="I31" s="30">
        <f>I30+I29</f>
        <v>20774.170443552135</v>
      </c>
      <c r="J31" s="30">
        <f>J30+J29</f>
        <v>34570.636573528594</v>
      </c>
      <c r="K31" s="30">
        <f>K30+K29</f>
        <v>55731.51339140362</v>
      </c>
    </row>
    <row r="32" spans="1:11" x14ac:dyDescent="0.4">
      <c r="A32" s="1"/>
      <c r="B32" s="5" t="s">
        <v>268</v>
      </c>
      <c r="C32" s="5" t="str">
        <f>IF(ABS(C6-IS!C24)&lt;0.1,"Check","Error")</f>
        <v>Check</v>
      </c>
      <c r="D32" s="5" t="str">
        <f>IF(ABS(D6-IS!D24)&lt;0.1,"Check","Error")</f>
        <v>Check</v>
      </c>
      <c r="E32" s="5" t="str">
        <f>IF(ABS(E6-IS!E24)&lt;0.1,"Check","Error")</f>
        <v>Check</v>
      </c>
      <c r="F32" s="5" t="str">
        <f>IF(ABS(F6-IS!F24)&lt;0.1,"Check","Error")</f>
        <v>Check</v>
      </c>
      <c r="G32" s="5" t="str">
        <f>IF(ABS(G6-IS!G24)&lt;0.1,"Check","Error")</f>
        <v>Check</v>
      </c>
      <c r="H32" s="5" t="str">
        <f>IF(ABS(H6-IS!H24)&lt;0.1,"Check","Error")</f>
        <v>Check</v>
      </c>
      <c r="I32" s="5" t="str">
        <f>IF(ABS(I6-IS!I24)&lt;0.1,"Check","Error")</f>
        <v>Check</v>
      </c>
      <c r="J32" s="5" t="str">
        <f>IF(ABS(J6-IS!J24)&lt;0.1,"Check","Error")</f>
        <v>Check</v>
      </c>
      <c r="K32" s="5" t="str">
        <f>IF(ABS(K6-IS!K24)&lt;0.1,"Check","Error")</f>
        <v>Check</v>
      </c>
    </row>
    <row r="33" spans="1:1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6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269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270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26" t="s">
        <v>173</v>
      </c>
      <c r="C5" s="26" t="s">
        <v>19</v>
      </c>
      <c r="D5" s="26" t="s">
        <v>20</v>
      </c>
      <c r="E5" s="26" t="s">
        <v>21</v>
      </c>
      <c r="F5" s="26" t="s">
        <v>22</v>
      </c>
      <c r="G5" s="26" t="s">
        <v>23</v>
      </c>
      <c r="H5" s="26" t="s">
        <v>24</v>
      </c>
      <c r="I5" s="26" t="s">
        <v>25</v>
      </c>
      <c r="J5" s="26" t="s">
        <v>26</v>
      </c>
      <c r="K5" s="26" t="s">
        <v>27</v>
      </c>
    </row>
    <row r="6" spans="1:11" x14ac:dyDescent="0.4">
      <c r="A6" s="1"/>
      <c r="B6" s="5" t="s">
        <v>271</v>
      </c>
      <c r="C6" s="1"/>
      <c r="D6" s="1"/>
      <c r="E6" s="1"/>
      <c r="F6" s="20">
        <f>E9</f>
        <v>59091</v>
      </c>
      <c r="G6" s="20">
        <f>E6+F6</f>
        <v>59091</v>
      </c>
      <c r="H6" s="20">
        <f>F9</f>
        <v>64200.088000000003</v>
      </c>
      <c r="I6" s="20">
        <f>H9</f>
        <v>78496.077440000008</v>
      </c>
      <c r="J6" s="20">
        <f>I9</f>
        <v>93076.54814720001</v>
      </c>
      <c r="K6" s="20">
        <f>J9</f>
        <v>103907.36236953601</v>
      </c>
    </row>
    <row r="7" spans="1:11" x14ac:dyDescent="0.4">
      <c r="A7" s="1"/>
      <c r="B7" s="5" t="s">
        <v>133</v>
      </c>
      <c r="C7" s="35">
        <v>11342</v>
      </c>
      <c r="D7" s="35">
        <v>8527</v>
      </c>
      <c r="E7" s="35">
        <v>13014</v>
      </c>
      <c r="F7" s="6">
        <f>Drivers!F28</f>
        <v>7000</v>
      </c>
      <c r="G7" s="20">
        <f>E7+F7</f>
        <v>20014</v>
      </c>
      <c r="H7" s="6">
        <f>Drivers!H28</f>
        <v>22000</v>
      </c>
      <c r="I7" s="6">
        <f>Drivers!I28</f>
        <v>24000</v>
      </c>
      <c r="J7" s="6">
        <f>Drivers!J28</f>
        <v>22000</v>
      </c>
      <c r="K7" s="6">
        <f>Drivers!K28</f>
        <v>20000</v>
      </c>
    </row>
    <row r="8" spans="1:11" x14ac:dyDescent="0.4">
      <c r="A8" s="1"/>
      <c r="B8" s="5" t="s">
        <v>244</v>
      </c>
      <c r="C8" s="35">
        <v>5368</v>
      </c>
      <c r="D8" s="35">
        <v>6148</v>
      </c>
      <c r="E8" s="35">
        <v>5061</v>
      </c>
      <c r="F8" s="20">
        <f>F6*Drivers!F27</f>
        <v>1890.912</v>
      </c>
      <c r="G8" s="20">
        <f>E8+F8</f>
        <v>6951.9120000000003</v>
      </c>
      <c r="H8" s="20">
        <f>H6*Drivers!H27</f>
        <v>7704.0105599999997</v>
      </c>
      <c r="I8" s="20">
        <f>I6*Drivers!I27</f>
        <v>9419.5292927999999</v>
      </c>
      <c r="J8" s="20">
        <f>J6*Drivers!J27</f>
        <v>11169.185777664001</v>
      </c>
      <c r="K8" s="20">
        <f>K6*Drivers!K27</f>
        <v>12468.883484344322</v>
      </c>
    </row>
    <row r="9" spans="1:11" x14ac:dyDescent="0.4">
      <c r="A9" s="1"/>
      <c r="B9" s="7" t="s">
        <v>272</v>
      </c>
      <c r="C9" s="6">
        <f>'Raw Data'!C76</f>
        <v>46341</v>
      </c>
      <c r="D9" s="6">
        <f>'Raw Data'!D76</f>
        <v>50159</v>
      </c>
      <c r="E9" s="6">
        <f>'Raw Data'!E76</f>
        <v>59091</v>
      </c>
      <c r="F9" s="30">
        <f>F6+F7-F8</f>
        <v>64200.088000000003</v>
      </c>
      <c r="G9" s="20">
        <f>F9</f>
        <v>64200.088000000003</v>
      </c>
      <c r="H9" s="30">
        <f>H6+H7-H8</f>
        <v>78496.077440000008</v>
      </c>
      <c r="I9" s="30">
        <f>I6+I7-I8</f>
        <v>93076.54814720001</v>
      </c>
      <c r="J9" s="30">
        <f>J6+J7-J8</f>
        <v>103907.36236953601</v>
      </c>
      <c r="K9" s="30">
        <f>K6+K7-K8</f>
        <v>111438.4788851917</v>
      </c>
    </row>
    <row r="10" spans="1:11" x14ac:dyDescent="0.4">
      <c r="A10" s="1"/>
      <c r="B10" s="5" t="s">
        <v>273</v>
      </c>
      <c r="C10" s="1"/>
      <c r="D10" s="1"/>
      <c r="E10" s="1"/>
      <c r="F10" s="20">
        <f>E13</f>
        <v>9523</v>
      </c>
      <c r="G10" s="20">
        <f>E10+F10</f>
        <v>9523</v>
      </c>
      <c r="H10" s="20">
        <f>F13</f>
        <v>9523</v>
      </c>
      <c r="I10" s="20">
        <f>H13</f>
        <v>9523</v>
      </c>
      <c r="J10" s="20">
        <f>I13</f>
        <v>9523</v>
      </c>
      <c r="K10" s="20">
        <f>J13</f>
        <v>9523</v>
      </c>
    </row>
    <row r="11" spans="1:11" x14ac:dyDescent="0.4">
      <c r="A11" s="1"/>
      <c r="B11" s="5" t="s">
        <v>258</v>
      </c>
      <c r="C11" s="35">
        <v>5744</v>
      </c>
      <c r="D11" s="35">
        <v>5586</v>
      </c>
      <c r="E11" s="35">
        <v>5834</v>
      </c>
      <c r="F11" s="20">
        <f>0</f>
        <v>0</v>
      </c>
      <c r="G11" s="20">
        <f>E11+F11</f>
        <v>5834</v>
      </c>
      <c r="H11" s="20">
        <f>0</f>
        <v>0</v>
      </c>
      <c r="I11" s="20">
        <f>0</f>
        <v>0</v>
      </c>
      <c r="J11" s="20">
        <f>0</f>
        <v>0</v>
      </c>
      <c r="K11" s="20">
        <f>0</f>
        <v>0</v>
      </c>
    </row>
    <row r="12" spans="1:11" x14ac:dyDescent="0.4">
      <c r="A12" s="1"/>
      <c r="B12" s="5" t="s">
        <v>259</v>
      </c>
      <c r="C12" s="35">
        <v>2500</v>
      </c>
      <c r="D12" s="35">
        <v>5546</v>
      </c>
      <c r="E12" s="35">
        <v>4954</v>
      </c>
      <c r="F12" s="20">
        <f>0</f>
        <v>0</v>
      </c>
      <c r="G12" s="20">
        <f>E12+F12</f>
        <v>4954</v>
      </c>
      <c r="H12" s="20">
        <f>0</f>
        <v>0</v>
      </c>
      <c r="I12" s="20">
        <f>0</f>
        <v>0</v>
      </c>
      <c r="J12" s="20">
        <f>0</f>
        <v>0</v>
      </c>
      <c r="K12" s="20">
        <f>0</f>
        <v>0</v>
      </c>
    </row>
    <row r="13" spans="1:11" x14ac:dyDescent="0.4">
      <c r="A13" s="1"/>
      <c r="B13" s="7" t="s">
        <v>274</v>
      </c>
      <c r="C13" s="6">
        <f>'Raw Data'!C79</f>
        <v>8213</v>
      </c>
      <c r="D13" s="6">
        <f>'Raw Data'!D79</f>
        <v>8376</v>
      </c>
      <c r="E13" s="6">
        <f>'Raw Data'!E79</f>
        <v>9523</v>
      </c>
      <c r="F13" s="30">
        <f>F10+F11-F12</f>
        <v>9523</v>
      </c>
      <c r="G13" s="20">
        <f>F13</f>
        <v>9523</v>
      </c>
      <c r="H13" s="30">
        <f>H10+H11-H12</f>
        <v>9523</v>
      </c>
      <c r="I13" s="30">
        <f>I10+I11-I12</f>
        <v>9523</v>
      </c>
      <c r="J13" s="30">
        <f>J10+J11-J12</f>
        <v>9523</v>
      </c>
      <c r="K13" s="30">
        <f>K10+K11-K12</f>
        <v>9523</v>
      </c>
    </row>
    <row r="14" spans="1:11" x14ac:dyDescent="0.4">
      <c r="A14" s="1"/>
      <c r="B14" s="5" t="s">
        <v>275</v>
      </c>
      <c r="C14" s="1"/>
      <c r="D14" s="1"/>
      <c r="E14" s="1"/>
      <c r="F14" s="20">
        <f>E17</f>
        <v>47908</v>
      </c>
      <c r="G14" s="20">
        <f>E14+F14</f>
        <v>47908</v>
      </c>
      <c r="H14" s="20">
        <f>F17</f>
        <v>49111.6</v>
      </c>
      <c r="I14" s="20">
        <f>H17</f>
        <v>54218.464528919998</v>
      </c>
      <c r="J14" s="20">
        <f>I17</f>
        <v>59934.581558940561</v>
      </c>
      <c r="K14" s="20">
        <f>J17</f>
        <v>66020.193576856691</v>
      </c>
    </row>
    <row r="15" spans="1:11" x14ac:dyDescent="0.4">
      <c r="A15" s="1"/>
      <c r="B15" s="5" t="s">
        <v>245</v>
      </c>
      <c r="C15" s="35">
        <v>1999</v>
      </c>
      <c r="D15" s="35">
        <v>2825</v>
      </c>
      <c r="E15" s="35">
        <v>3346</v>
      </c>
      <c r="F15" s="20">
        <f>Drivers!F19*Drivers!F29</f>
        <v>1203.6000000000001</v>
      </c>
      <c r="G15" s="20">
        <f>E15+F15</f>
        <v>4549.6000000000004</v>
      </c>
      <c r="H15" s="20">
        <f>Drivers!H19*Drivers!H29</f>
        <v>5106.8645289200003</v>
      </c>
      <c r="I15" s="20">
        <f>Drivers!I19*Drivers!I29</f>
        <v>5716.117030020564</v>
      </c>
      <c r="J15" s="20">
        <f>Drivers!J19*Drivers!J29</f>
        <v>6085.6120179161326</v>
      </c>
      <c r="K15" s="20">
        <f>Drivers!K19*Drivers!K29</f>
        <v>5909.6360176933158</v>
      </c>
    </row>
    <row r="16" spans="1:11" x14ac:dyDescent="0.4">
      <c r="A16" s="1"/>
      <c r="B16" s="5" t="s">
        <v>260</v>
      </c>
      <c r="C16" s="35">
        <v>1241</v>
      </c>
      <c r="D16" s="35">
        <v>1186</v>
      </c>
      <c r="E16" s="35">
        <v>782</v>
      </c>
      <c r="F16" s="20">
        <f>0</f>
        <v>0</v>
      </c>
      <c r="G16" s="20">
        <f>E16+F16</f>
        <v>782</v>
      </c>
      <c r="H16" s="20">
        <f>0</f>
        <v>0</v>
      </c>
      <c r="I16" s="20">
        <f>0</f>
        <v>0</v>
      </c>
      <c r="J16" s="20">
        <f>0</f>
        <v>0</v>
      </c>
      <c r="K16" s="20">
        <f>0</f>
        <v>0</v>
      </c>
    </row>
    <row r="17" spans="1:11" x14ac:dyDescent="0.4">
      <c r="A17" s="1"/>
      <c r="B17" s="7" t="s">
        <v>276</v>
      </c>
      <c r="C17" s="6">
        <f>'Raw Data'!C80</f>
        <v>37704</v>
      </c>
      <c r="D17" s="6">
        <f>'Raw Data'!D80</f>
        <v>43134</v>
      </c>
      <c r="E17" s="6">
        <f>'Raw Data'!E80</f>
        <v>47908</v>
      </c>
      <c r="F17" s="30">
        <f>F14+F15+F16</f>
        <v>49111.6</v>
      </c>
      <c r="G17" s="20">
        <f>F17</f>
        <v>49111.6</v>
      </c>
      <c r="H17" s="30">
        <f>H14+H15+H16</f>
        <v>54218.464528919998</v>
      </c>
      <c r="I17" s="30">
        <f>I14+I15+I16</f>
        <v>59934.581558940561</v>
      </c>
      <c r="J17" s="30">
        <f>J14+J15+J16</f>
        <v>66020.193576856691</v>
      </c>
      <c r="K17" s="30">
        <f>K14+K15+K16</f>
        <v>71929.829594550014</v>
      </c>
    </row>
    <row r="18" spans="1:11" x14ac:dyDescent="0.4">
      <c r="A18" s="1"/>
      <c r="B18" s="5" t="s">
        <v>277</v>
      </c>
      <c r="C18" s="1"/>
      <c r="D18" s="1"/>
      <c r="E18" s="1"/>
      <c r="F18" s="20">
        <f>E21</f>
        <v>41381</v>
      </c>
      <c r="G18" s="20">
        <f>E18+F18</f>
        <v>41381</v>
      </c>
      <c r="H18" s="20">
        <f>F21</f>
        <v>42407.566606</v>
      </c>
      <c r="I18" s="20">
        <f>H21</f>
        <v>48105.487419185658</v>
      </c>
      <c r="J18" s="20">
        <f>I21</f>
        <v>56426.246853328201</v>
      </c>
      <c r="K18" s="20">
        <f>J21</f>
        <v>68297.564912879126</v>
      </c>
    </row>
    <row r="19" spans="1:11" x14ac:dyDescent="0.4">
      <c r="A19" s="1"/>
      <c r="B19" s="5" t="s">
        <v>32</v>
      </c>
      <c r="C19" s="35">
        <v>7091</v>
      </c>
      <c r="D19" s="35">
        <v>3794</v>
      </c>
      <c r="E19" s="35">
        <v>2378</v>
      </c>
      <c r="F19" s="6">
        <f>IS!F26</f>
        <v>1026.566606000001</v>
      </c>
      <c r="G19" s="20">
        <f>E19+F19</f>
        <v>3404.5666060000012</v>
      </c>
      <c r="H19" s="6">
        <f>IS!H26</f>
        <v>5697.9208131856567</v>
      </c>
      <c r="I19" s="6">
        <f>IS!I26</f>
        <v>8320.7594341425429</v>
      </c>
      <c r="J19" s="6">
        <f>IS!J26</f>
        <v>11871.318059550924</v>
      </c>
      <c r="K19" s="6">
        <f>IS!K26</f>
        <v>16215.627101153135</v>
      </c>
    </row>
    <row r="20" spans="1:11" x14ac:dyDescent="0.4">
      <c r="A20" s="1"/>
      <c r="B20" s="5" t="s">
        <v>278</v>
      </c>
      <c r="C20" s="1"/>
      <c r="D20" s="1"/>
      <c r="E20" s="1"/>
      <c r="F20" s="20">
        <f>0</f>
        <v>0</v>
      </c>
      <c r="G20" s="20">
        <f>E20+F20</f>
        <v>0</v>
      </c>
      <c r="H20" s="20">
        <f>0</f>
        <v>0</v>
      </c>
      <c r="I20" s="20">
        <f>0</f>
        <v>0</v>
      </c>
      <c r="J20" s="20">
        <f>0</f>
        <v>0</v>
      </c>
      <c r="K20" s="20">
        <f>0</f>
        <v>0</v>
      </c>
    </row>
    <row r="21" spans="1:11" x14ac:dyDescent="0.4">
      <c r="A21" s="1"/>
      <c r="B21" s="7" t="s">
        <v>279</v>
      </c>
      <c r="C21" s="6">
        <f>'Raw Data'!C52</f>
        <v>35209</v>
      </c>
      <c r="D21" s="6">
        <f>'Raw Data'!D52</f>
        <v>39003</v>
      </c>
      <c r="E21" s="6">
        <f>'Raw Data'!E52</f>
        <v>41381</v>
      </c>
      <c r="F21" s="30">
        <f>F18+F19-F20</f>
        <v>42407.566606</v>
      </c>
      <c r="G21" s="20">
        <f>F21</f>
        <v>42407.566606</v>
      </c>
      <c r="H21" s="30">
        <f>H18+H19-H20</f>
        <v>48105.487419185658</v>
      </c>
      <c r="I21" s="30">
        <f>I18+I19-I20</f>
        <v>56426.246853328201</v>
      </c>
      <c r="J21" s="30">
        <f>J18+J19-J20</f>
        <v>68297.564912879126</v>
      </c>
      <c r="K21" s="30">
        <f>K18+K19-K20</f>
        <v>84513.192014032262</v>
      </c>
    </row>
    <row r="22" spans="1:11" x14ac:dyDescent="0.4">
      <c r="A22" s="1"/>
      <c r="B22" s="5" t="s">
        <v>280</v>
      </c>
      <c r="C22" s="1"/>
      <c r="D22" s="1"/>
      <c r="E22" s="1"/>
      <c r="F22" s="20">
        <f>E25</f>
        <v>546</v>
      </c>
      <c r="G22" s="20">
        <f>E22+F22</f>
        <v>546</v>
      </c>
      <c r="H22" s="20">
        <f>F25</f>
        <v>546</v>
      </c>
      <c r="I22" s="20">
        <f>H25</f>
        <v>546</v>
      </c>
      <c r="J22" s="20">
        <f>I25</f>
        <v>546</v>
      </c>
      <c r="K22" s="20">
        <f>J25</f>
        <v>546</v>
      </c>
    </row>
    <row r="23" spans="1:11" x14ac:dyDescent="0.4">
      <c r="A23" s="1"/>
      <c r="B23" s="5" t="s">
        <v>281</v>
      </c>
      <c r="C23" s="35">
        <v>62</v>
      </c>
      <c r="D23" s="35">
        <v>61</v>
      </c>
      <c r="E23" s="35">
        <v>45</v>
      </c>
      <c r="F23" s="6">
        <f>IS!F25</f>
        <v>15.632994000000016</v>
      </c>
      <c r="G23" s="20">
        <f>E23+F23</f>
        <v>60.632994000000018</v>
      </c>
      <c r="H23" s="6">
        <f>IS!H25</f>
        <v>86.770367713487147</v>
      </c>
      <c r="I23" s="6">
        <f>IS!I25</f>
        <v>126.71207260115548</v>
      </c>
      <c r="J23" s="6">
        <f>IS!J25</f>
        <v>180.78149329265366</v>
      </c>
      <c r="K23" s="6">
        <f>IS!K25</f>
        <v>246.9384837739056</v>
      </c>
    </row>
    <row r="24" spans="1:11" x14ac:dyDescent="0.4">
      <c r="A24" s="1"/>
      <c r="B24" s="5" t="s">
        <v>261</v>
      </c>
      <c r="C24" s="35">
        <v>104</v>
      </c>
      <c r="D24" s="35">
        <v>78</v>
      </c>
      <c r="E24" s="35">
        <v>126</v>
      </c>
      <c r="F24" s="20">
        <f>F23</f>
        <v>15.632994000000016</v>
      </c>
      <c r="G24" s="20">
        <f>E24+F24</f>
        <v>141.63299400000002</v>
      </c>
      <c r="H24" s="20">
        <f>H23</f>
        <v>86.770367713487147</v>
      </c>
      <c r="I24" s="20">
        <f>I23</f>
        <v>126.71207260115548</v>
      </c>
      <c r="J24" s="20">
        <f>J23</f>
        <v>180.78149329265366</v>
      </c>
      <c r="K24" s="20">
        <f>K23</f>
        <v>246.9384837739056</v>
      </c>
    </row>
    <row r="25" spans="1:11" x14ac:dyDescent="0.4">
      <c r="A25" s="1"/>
      <c r="B25" s="7" t="s">
        <v>282</v>
      </c>
      <c r="C25" s="6">
        <f>'Raw Data'!C54</f>
        <v>704</v>
      </c>
      <c r="D25" s="6">
        <f>'Raw Data'!D54</f>
        <v>670</v>
      </c>
      <c r="E25" s="6">
        <f>'Raw Data'!E54</f>
        <v>546</v>
      </c>
      <c r="F25" s="30">
        <f>F22+F23-F24</f>
        <v>546</v>
      </c>
      <c r="G25" s="20">
        <f>F25</f>
        <v>546</v>
      </c>
      <c r="H25" s="30">
        <f>H22+H23-H24</f>
        <v>546</v>
      </c>
      <c r="I25" s="30">
        <f>I22+I23-I24</f>
        <v>546</v>
      </c>
      <c r="J25" s="30">
        <f>J22+J23-J24</f>
        <v>546</v>
      </c>
      <c r="K25" s="30">
        <f>K22+K23-K24</f>
        <v>546</v>
      </c>
    </row>
    <row r="26" spans="1:1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41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</row>
    <row r="2" spans="1:11" ht="19" x14ac:dyDescent="0.6">
      <c r="A2" s="1"/>
      <c r="B2" s="44" t="s">
        <v>283</v>
      </c>
      <c r="C2" s="43"/>
      <c r="D2" s="43"/>
      <c r="E2" s="43"/>
      <c r="F2" s="43"/>
      <c r="G2" s="43"/>
      <c r="H2" s="43"/>
      <c r="I2" s="46"/>
      <c r="J2" s="46"/>
      <c r="K2" s="46"/>
    </row>
    <row r="3" spans="1:11" x14ac:dyDescent="0.4">
      <c r="A3" s="1"/>
      <c r="B3" s="2" t="s">
        <v>284</v>
      </c>
      <c r="C3" s="1"/>
      <c r="D3" s="1"/>
      <c r="E3" s="1"/>
      <c r="F3" s="1"/>
      <c r="G3" s="1"/>
      <c r="H3" s="1"/>
    </row>
    <row r="4" spans="1:11" x14ac:dyDescent="0.4">
      <c r="A4" s="1"/>
      <c r="B4" s="1" t="s">
        <v>2</v>
      </c>
      <c r="C4" s="25" t="str">
        <f>Assumptions!C4</f>
        <v>Base</v>
      </c>
      <c r="D4" s="1"/>
      <c r="E4" s="1"/>
      <c r="F4" s="1"/>
      <c r="G4" s="1"/>
      <c r="H4" s="1"/>
    </row>
    <row r="5" spans="1:11" x14ac:dyDescent="0.4">
      <c r="A5" s="1"/>
      <c r="B5" s="1"/>
      <c r="C5" s="1"/>
      <c r="D5" s="1"/>
      <c r="E5" s="1"/>
      <c r="F5" s="1"/>
      <c r="G5" s="1"/>
      <c r="H5" s="1"/>
    </row>
    <row r="6" spans="1:11" x14ac:dyDescent="0.4">
      <c r="A6" s="1"/>
      <c r="B6" s="11" t="s">
        <v>285</v>
      </c>
      <c r="C6" s="11" t="s">
        <v>22</v>
      </c>
      <c r="D6" s="11" t="s">
        <v>24</v>
      </c>
      <c r="E6" s="11" t="s">
        <v>25</v>
      </c>
      <c r="F6" s="11" t="s">
        <v>26</v>
      </c>
      <c r="G6" s="11" t="s">
        <v>27</v>
      </c>
      <c r="H6" s="1"/>
    </row>
    <row r="7" spans="1:11" x14ac:dyDescent="0.4">
      <c r="A7" s="1"/>
      <c r="B7" s="5" t="s">
        <v>28</v>
      </c>
      <c r="C7" s="6">
        <f>IS!F9</f>
        <v>30090</v>
      </c>
      <c r="D7" s="6">
        <f>IS!H9</f>
        <v>127671.61322300001</v>
      </c>
      <c r="E7" s="6">
        <f>IS!I9</f>
        <v>150424.13236896222</v>
      </c>
      <c r="F7" s="6">
        <f>IS!J9</f>
        <v>173874.62908331805</v>
      </c>
      <c r="G7" s="6">
        <f>IS!K9</f>
        <v>196987.86725644386</v>
      </c>
      <c r="H7" s="1"/>
    </row>
    <row r="8" spans="1:11" x14ac:dyDescent="0.4">
      <c r="A8" s="1"/>
      <c r="B8" s="5" t="s">
        <v>286</v>
      </c>
      <c r="C8" s="6">
        <f>IS!F18</f>
        <v>960.00000000000136</v>
      </c>
      <c r="D8" s="6">
        <f>IS!H18</f>
        <v>5949.4618789200049</v>
      </c>
      <c r="E8" s="6">
        <f>IS!I18</f>
        <v>9376.7173666929339</v>
      </c>
      <c r="F8" s="6">
        <f>IS!J18</f>
        <v>13702.015401047254</v>
      </c>
      <c r="G8" s="6">
        <f>IS!K18</f>
        <v>18733.025150890549</v>
      </c>
      <c r="H8" s="1"/>
    </row>
    <row r="9" spans="1:11" x14ac:dyDescent="0.4">
      <c r="A9" s="1"/>
      <c r="B9" s="5" t="s">
        <v>181</v>
      </c>
      <c r="C9" s="10">
        <f>Drivers!F30</f>
        <v>0.21</v>
      </c>
      <c r="D9" s="10">
        <f>Drivers!H30</f>
        <v>0.21</v>
      </c>
      <c r="E9" s="10">
        <f>Drivers!I30</f>
        <v>0.21</v>
      </c>
      <c r="F9" s="10">
        <f>Drivers!J30</f>
        <v>0.21</v>
      </c>
      <c r="G9" s="10">
        <f>Drivers!K30</f>
        <v>0.21</v>
      </c>
      <c r="H9" s="1"/>
    </row>
    <row r="10" spans="1:11" x14ac:dyDescent="0.4">
      <c r="A10" s="1"/>
      <c r="B10" s="7" t="s">
        <v>287</v>
      </c>
      <c r="C10" s="30">
        <f>C8*(1-C9)</f>
        <v>758.40000000000111</v>
      </c>
      <c r="D10" s="30">
        <f>D8*(1-D9)</f>
        <v>4700.0748843468036</v>
      </c>
      <c r="E10" s="30">
        <f>E8*(1-E9)</f>
        <v>7407.6067196874183</v>
      </c>
      <c r="F10" s="30">
        <f>F8*(1-F9)</f>
        <v>10824.592166827331</v>
      </c>
      <c r="G10" s="30">
        <f>G8*(1-G9)</f>
        <v>14799.089869203535</v>
      </c>
      <c r="H10" s="1"/>
    </row>
    <row r="11" spans="1:11" x14ac:dyDescent="0.4">
      <c r="A11" s="1"/>
      <c r="B11" s="5" t="s">
        <v>288</v>
      </c>
      <c r="C11" s="6">
        <f>Schedules!F8</f>
        <v>1890.912</v>
      </c>
      <c r="D11" s="6">
        <f>Schedules!H8</f>
        <v>7704.0105599999997</v>
      </c>
      <c r="E11" s="6">
        <f>Schedules!I8</f>
        <v>9419.5292927999999</v>
      </c>
      <c r="F11" s="6">
        <f>Schedules!J8</f>
        <v>11169.185777664001</v>
      </c>
      <c r="G11" s="6">
        <f>Schedules!K8</f>
        <v>12468.883484344322</v>
      </c>
      <c r="H11" s="1"/>
    </row>
    <row r="12" spans="1:11" x14ac:dyDescent="0.4">
      <c r="A12" s="1"/>
      <c r="B12" s="5" t="s">
        <v>133</v>
      </c>
      <c r="C12" s="6">
        <f>Schedules!F7</f>
        <v>7000</v>
      </c>
      <c r="D12" s="6">
        <f>Schedules!H7</f>
        <v>22000</v>
      </c>
      <c r="E12" s="6">
        <f>Schedules!I7</f>
        <v>24000</v>
      </c>
      <c r="F12" s="6">
        <f>Schedules!J7</f>
        <v>22000</v>
      </c>
      <c r="G12" s="6">
        <f>Schedules!K7</f>
        <v>20000</v>
      </c>
      <c r="H12" s="1"/>
    </row>
    <row r="13" spans="1:11" x14ac:dyDescent="0.4">
      <c r="A13" s="1"/>
      <c r="B13" s="5" t="s">
        <v>289</v>
      </c>
      <c r="C13" s="20">
        <f>BS!F8+BS!F9+BS!F10-BS!F15-BS!F16-BS!F17-BS!F19</f>
        <v>-34428.221917808223</v>
      </c>
      <c r="D13" s="20">
        <f>BS!H8+BS!H9+BS!H10-BS!H15-BS!H16-BS!H17-BS!H19</f>
        <v>-36503.239006333628</v>
      </c>
      <c r="E13" s="20">
        <f>BS!I8+BS!I9+BS!I10-BS!I15-BS!I16-BS!I17-BS!I19</f>
        <v>-42984.890178483372</v>
      </c>
      <c r="F13" s="20">
        <f>BS!J8+BS!J9+BS!J10-BS!J15-BS!J16-BS!J17-BS!J19</f>
        <v>-49655.240453328777</v>
      </c>
      <c r="G13" s="20">
        <f>BS!K8+BS!K9+BS!K10-BS!K15-BS!K16-BS!K17-BS!K19</f>
        <v>-56221.970668013033</v>
      </c>
      <c r="H13" s="1"/>
    </row>
    <row r="14" spans="1:11" x14ac:dyDescent="0.4">
      <c r="A14" s="1"/>
      <c r="B14" s="5" t="s">
        <v>290</v>
      </c>
      <c r="C14" s="20">
        <f>C13-'Raw Data'!E81</f>
        <v>-1278.2219178082232</v>
      </c>
      <c r="D14" s="20">
        <f>D13-C13</f>
        <v>-2075.0170885254047</v>
      </c>
      <c r="E14" s="20">
        <f>E13-D13</f>
        <v>-6481.6511721497445</v>
      </c>
      <c r="F14" s="20">
        <f>F13-E13</f>
        <v>-6670.3502748454048</v>
      </c>
      <c r="G14" s="20">
        <f>G13-F13</f>
        <v>-6566.7302146842558</v>
      </c>
      <c r="H14" s="1"/>
    </row>
    <row r="15" spans="1:11" x14ac:dyDescent="0.4">
      <c r="A15" s="1"/>
      <c r="B15" s="34" t="s">
        <v>291</v>
      </c>
      <c r="C15" s="20">
        <f>0</f>
        <v>0</v>
      </c>
      <c r="D15" s="20">
        <f>0</f>
        <v>0</v>
      </c>
      <c r="E15" s="20">
        <f>0</f>
        <v>0</v>
      </c>
      <c r="F15" s="20">
        <f>0</f>
        <v>0</v>
      </c>
      <c r="G15" s="20">
        <f>0</f>
        <v>0</v>
      </c>
      <c r="H15" s="1"/>
    </row>
    <row r="16" spans="1:11" x14ac:dyDescent="0.4">
      <c r="A16" s="1"/>
      <c r="B16" s="7" t="s">
        <v>292</v>
      </c>
      <c r="C16" s="30">
        <f>C10+C11-C12-C14+C15</f>
        <v>-3072.4660821917751</v>
      </c>
      <c r="D16" s="30">
        <f>D10+D11-D12-D14+D15</f>
        <v>-7520.897467127792</v>
      </c>
      <c r="E16" s="30">
        <f>E10+E11-E12-E14+E15</f>
        <v>-691.21281536283641</v>
      </c>
      <c r="F16" s="30">
        <f>F10+F11-F12-F14+F15</f>
        <v>6664.1282193367369</v>
      </c>
      <c r="G16" s="30">
        <f>G10+G11-G12-G14+G15</f>
        <v>13834.703568232115</v>
      </c>
      <c r="H16" s="1"/>
    </row>
    <row r="17" spans="1:8" x14ac:dyDescent="0.4">
      <c r="A17" s="1"/>
      <c r="B17" s="5" t="s">
        <v>293</v>
      </c>
      <c r="C17" s="19">
        <v>0.18082191780821921</v>
      </c>
      <c r="D17" s="19">
        <v>1.1808219178082191</v>
      </c>
      <c r="E17" s="19">
        <v>2.1808219178082191</v>
      </c>
      <c r="F17" s="19">
        <v>3.1808219178082191</v>
      </c>
      <c r="G17" s="19">
        <v>4.1808219178082204</v>
      </c>
      <c r="H17" s="1"/>
    </row>
    <row r="18" spans="1:8" x14ac:dyDescent="0.4">
      <c r="A18" s="1"/>
      <c r="B18" s="5" t="s">
        <v>294</v>
      </c>
      <c r="C18" s="36">
        <f>1/(1+$C$23)^C17</f>
        <v>0.97814780347263885</v>
      </c>
      <c r="D18" s="36">
        <f>1/(1+$C$23)^D17</f>
        <v>0.86564210585623513</v>
      </c>
      <c r="E18" s="36">
        <f>1/(1+$C$23)^E17</f>
        <v>0.76607671434818914</v>
      </c>
      <c r="F18" s="36">
        <f>1/(1+$C$23)^F17</f>
        <v>0.67796324635343497</v>
      </c>
      <c r="G18" s="36">
        <f>1/(1+$C$23)^G17</f>
        <v>0.59998451173021838</v>
      </c>
      <c r="H18" s="1"/>
    </row>
    <row r="19" spans="1:8" x14ac:dyDescent="0.4">
      <c r="A19" s="1"/>
      <c r="B19" s="7" t="s">
        <v>295</v>
      </c>
      <c r="C19" s="30">
        <f>C16*C18</f>
        <v>-3005.3259495400689</v>
      </c>
      <c r="D19" s="30">
        <f>D16*D18</f>
        <v>-6510.4055213733263</v>
      </c>
      <c r="E19" s="30">
        <f>E16*E18</f>
        <v>-529.52204250852321</v>
      </c>
      <c r="F19" s="30">
        <f>F16*F18</f>
        <v>4518.0340016970704</v>
      </c>
      <c r="G19" s="30">
        <f>G16*G18</f>
        <v>8300.6078653180557</v>
      </c>
      <c r="H19" s="1"/>
    </row>
    <row r="20" spans="1:8" x14ac:dyDescent="0.4">
      <c r="A20" s="1"/>
      <c r="B20" s="1"/>
      <c r="C20" s="1"/>
      <c r="D20" s="1"/>
      <c r="E20" s="1"/>
      <c r="F20" s="1"/>
      <c r="G20" s="1"/>
      <c r="H20" s="1"/>
    </row>
    <row r="21" spans="1:8" x14ac:dyDescent="0.4">
      <c r="A21" s="1"/>
      <c r="B21" s="4" t="s">
        <v>296</v>
      </c>
      <c r="C21" s="4"/>
      <c r="D21" s="4"/>
      <c r="E21" s="4"/>
      <c r="F21" s="4"/>
      <c r="G21" s="4"/>
      <c r="H21" s="1"/>
    </row>
    <row r="22" spans="1:8" x14ac:dyDescent="0.4">
      <c r="A22" s="1"/>
      <c r="B22" s="5" t="s">
        <v>86</v>
      </c>
      <c r="C22" s="10">
        <f>Assumptions!C23</f>
        <v>0.1299679126688513</v>
      </c>
      <c r="D22" s="1"/>
      <c r="E22" s="2" t="s">
        <v>297</v>
      </c>
      <c r="F22" s="1"/>
      <c r="G22" s="1"/>
      <c r="H22" s="1"/>
    </row>
    <row r="23" spans="1:8" x14ac:dyDescent="0.4">
      <c r="A23" s="1"/>
      <c r="B23" s="5" t="s">
        <v>9</v>
      </c>
      <c r="C23" s="21">
        <f>C22+Drivers!F46</f>
        <v>0.1299679126688513</v>
      </c>
      <c r="D23" s="1"/>
      <c r="E23" s="2" t="s">
        <v>298</v>
      </c>
      <c r="F23" s="1"/>
      <c r="G23" s="1"/>
      <c r="H23" s="1"/>
    </row>
    <row r="24" spans="1:8" x14ac:dyDescent="0.4">
      <c r="A24" s="1"/>
      <c r="B24" s="5" t="s">
        <v>10</v>
      </c>
      <c r="C24" s="21">
        <f>Drivers!F47</f>
        <v>2.5000000000000001E-2</v>
      </c>
      <c r="D24" s="1"/>
      <c r="E24" s="2" t="s">
        <v>299</v>
      </c>
      <c r="F24" s="1"/>
      <c r="G24" s="1"/>
      <c r="H24" s="1"/>
    </row>
    <row r="25" spans="1:8" x14ac:dyDescent="0.4">
      <c r="A25" s="1"/>
      <c r="B25" s="5" t="s">
        <v>164</v>
      </c>
      <c r="C25" s="21">
        <f>Drivers!F48</f>
        <v>0.2</v>
      </c>
      <c r="D25" s="1"/>
      <c r="E25" s="2" t="s">
        <v>300</v>
      </c>
      <c r="F25" s="1"/>
      <c r="G25" s="1"/>
      <c r="H25" s="1"/>
    </row>
    <row r="26" spans="1:8" x14ac:dyDescent="0.4">
      <c r="A26" s="1"/>
      <c r="B26" s="5" t="s">
        <v>301</v>
      </c>
      <c r="C26" s="20">
        <f>G10*(1+C24)*(1-C25)</f>
        <v>12135.253692746897</v>
      </c>
      <c r="D26" s="1"/>
      <c r="E26" s="2" t="s">
        <v>302</v>
      </c>
      <c r="F26" s="1"/>
      <c r="G26" s="1"/>
      <c r="H26" s="1"/>
    </row>
    <row r="27" spans="1:8" x14ac:dyDescent="0.4">
      <c r="A27" s="1"/>
      <c r="B27" s="5" t="s">
        <v>303</v>
      </c>
      <c r="C27" s="20">
        <f>C26/(C23-C24)</f>
        <v>115609.17412000679</v>
      </c>
      <c r="D27" s="1"/>
      <c r="E27" s="2" t="s">
        <v>304</v>
      </c>
      <c r="F27" s="1"/>
      <c r="G27" s="1"/>
      <c r="H27" s="1"/>
    </row>
    <row r="28" spans="1:8" x14ac:dyDescent="0.4">
      <c r="A28" s="1"/>
      <c r="B28" s="5" t="s">
        <v>305</v>
      </c>
      <c r="C28" s="20">
        <f>SUM(C19:G19)</f>
        <v>2773.3883535932082</v>
      </c>
      <c r="D28" s="1"/>
      <c r="E28" s="1"/>
      <c r="F28" s="1"/>
      <c r="G28" s="1"/>
      <c r="H28" s="1"/>
    </row>
    <row r="29" spans="1:8" x14ac:dyDescent="0.4">
      <c r="A29" s="1"/>
      <c r="B29" s="5" t="s">
        <v>306</v>
      </c>
      <c r="C29" s="20">
        <f>C27*G18</f>
        <v>69363.713885926074</v>
      </c>
      <c r="D29" s="1"/>
      <c r="E29" s="1"/>
      <c r="F29" s="1"/>
      <c r="G29" s="1"/>
      <c r="H29" s="1"/>
    </row>
    <row r="30" spans="1:8" x14ac:dyDescent="0.4">
      <c r="A30" s="1"/>
      <c r="B30" s="7" t="s">
        <v>4</v>
      </c>
      <c r="C30" s="30">
        <f>C28+C29</f>
        <v>72137.102239519285</v>
      </c>
      <c r="D30" s="1"/>
      <c r="E30" s="1"/>
      <c r="F30" s="1"/>
      <c r="G30" s="1"/>
      <c r="H30" s="1"/>
    </row>
    <row r="31" spans="1:8" x14ac:dyDescent="0.4">
      <c r="A31" s="1"/>
      <c r="B31" s="5" t="s">
        <v>307</v>
      </c>
      <c r="C31" s="6">
        <f>Assumptions!C11</f>
        <v>45447</v>
      </c>
      <c r="D31" s="1"/>
      <c r="E31" s="1"/>
      <c r="F31" s="1"/>
      <c r="G31" s="1"/>
      <c r="H31" s="1"/>
    </row>
    <row r="32" spans="1:8" x14ac:dyDescent="0.4">
      <c r="A32" s="1"/>
      <c r="B32" s="5" t="s">
        <v>57</v>
      </c>
      <c r="C32" s="6">
        <f>Assumptions!C12</f>
        <v>9523</v>
      </c>
      <c r="D32" s="1"/>
      <c r="E32" s="1"/>
      <c r="F32" s="1"/>
      <c r="G32" s="1"/>
      <c r="H32" s="1"/>
    </row>
    <row r="33" spans="1:8" x14ac:dyDescent="0.4">
      <c r="A33" s="1"/>
      <c r="B33" s="5" t="s">
        <v>59</v>
      </c>
      <c r="C33" s="6">
        <f>Assumptions!C13</f>
        <v>600</v>
      </c>
      <c r="D33" s="1"/>
      <c r="E33" s="1"/>
      <c r="F33" s="1"/>
      <c r="G33" s="1"/>
      <c r="H33" s="1"/>
    </row>
    <row r="34" spans="1:8" x14ac:dyDescent="0.4">
      <c r="A34" s="1"/>
      <c r="B34" s="7" t="s">
        <v>5</v>
      </c>
      <c r="C34" s="30">
        <f>C30+C31-C32-C33</f>
        <v>107461.10223951928</v>
      </c>
      <c r="D34" s="1"/>
      <c r="E34" s="1"/>
      <c r="F34" s="1"/>
      <c r="G34" s="1"/>
      <c r="H34" s="1"/>
    </row>
    <row r="35" spans="1:8" x14ac:dyDescent="0.4">
      <c r="A35" s="1"/>
      <c r="B35" s="5" t="s">
        <v>52</v>
      </c>
      <c r="C35" s="37">
        <f>Assumptions!C10</f>
        <v>3952.7579460000002</v>
      </c>
      <c r="D35" s="1"/>
      <c r="E35" s="1"/>
      <c r="F35" s="1"/>
      <c r="G35" s="1"/>
      <c r="H35" s="1"/>
    </row>
    <row r="36" spans="1:8" x14ac:dyDescent="0.4">
      <c r="A36" s="1"/>
      <c r="B36" s="7" t="s">
        <v>6</v>
      </c>
      <c r="C36" s="38">
        <f>C34/C35</f>
        <v>27.186360436834924</v>
      </c>
      <c r="D36" s="1"/>
      <c r="E36" s="1"/>
      <c r="F36" s="1"/>
      <c r="G36" s="1"/>
      <c r="H36" s="1"/>
    </row>
    <row r="37" spans="1:8" x14ac:dyDescent="0.4">
      <c r="A37" s="1"/>
      <c r="B37" s="5" t="s">
        <v>308</v>
      </c>
      <c r="C37" s="9">
        <f>Assumptions!C9</f>
        <v>394.61999511720001</v>
      </c>
      <c r="D37" s="1"/>
      <c r="E37" s="1"/>
      <c r="F37" s="1"/>
      <c r="G37" s="1"/>
      <c r="H37" s="1"/>
    </row>
    <row r="38" spans="1:8" x14ac:dyDescent="0.4">
      <c r="A38" s="1"/>
      <c r="B38" s="5" t="s">
        <v>8</v>
      </c>
      <c r="C38" s="21">
        <f>C36/C37-1</f>
        <v>-0.9311074938593501</v>
      </c>
      <c r="D38" s="1"/>
      <c r="E38" s="1"/>
      <c r="F38" s="1"/>
      <c r="G38" s="1"/>
      <c r="H38" s="1"/>
    </row>
    <row r="39" spans="1:8" x14ac:dyDescent="0.4">
      <c r="A39" s="1"/>
      <c r="B39" s="5" t="s">
        <v>309</v>
      </c>
      <c r="C39" s="21">
        <f>C29/C30</f>
        <v>0.96155392623916836</v>
      </c>
      <c r="D39" s="1"/>
      <c r="E39" s="1"/>
      <c r="F39" s="1"/>
      <c r="G39" s="1"/>
      <c r="H39" s="1"/>
    </row>
    <row r="40" spans="1:8" x14ac:dyDescent="0.4">
      <c r="A40" s="1"/>
      <c r="B40" s="5" t="s">
        <v>310</v>
      </c>
      <c r="C40" s="33">
        <f>(C28+(G8+G11)*Drivers!F49*G18+C31-C32-C33)/C35</f>
        <v>66.471394138926755</v>
      </c>
      <c r="D40" s="1"/>
      <c r="E40" s="1"/>
      <c r="F40" s="1"/>
      <c r="G40" s="1"/>
      <c r="H40" s="1"/>
    </row>
    <row r="41" spans="1:8" x14ac:dyDescent="0.4">
      <c r="A41" s="1"/>
      <c r="B41" s="1"/>
      <c r="C41" s="1"/>
      <c r="D41" s="1"/>
      <c r="E41" s="1"/>
      <c r="F41" s="1"/>
      <c r="G41" s="1"/>
      <c r="H41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4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6">
      <c r="A2" s="1"/>
      <c r="B2" s="44" t="s">
        <v>311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4">
      <c r="A3" s="1"/>
      <c r="B3" s="2" t="s">
        <v>312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">
      <c r="A4" s="1"/>
      <c r="B4" s="2" t="s">
        <v>313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">
      <c r="A6" s="1"/>
      <c r="B6" s="4" t="s">
        <v>314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4">
      <c r="A7" s="1"/>
      <c r="B7" s="1"/>
      <c r="C7" s="1"/>
      <c r="D7" s="18">
        <v>0.01</v>
      </c>
      <c r="E7" s="18">
        <v>1.4999999999999999E-2</v>
      </c>
      <c r="F7" s="18">
        <v>0.02</v>
      </c>
      <c r="G7" s="18">
        <v>2.5000000000000001E-2</v>
      </c>
      <c r="H7" s="18">
        <v>0.03</v>
      </c>
      <c r="I7" s="18">
        <v>3.5000000000000003E-2</v>
      </c>
      <c r="J7" s="18">
        <v>0.04</v>
      </c>
      <c r="K7" s="1"/>
    </row>
    <row r="8" spans="1:11" x14ac:dyDescent="0.4">
      <c r="A8" s="1"/>
      <c r="B8" s="1"/>
      <c r="C8" s="18">
        <v>0.11</v>
      </c>
      <c r="D8" s="33">
        <f>IF($C8&lt;=D$7,"NM",(DCF!C16/(1+$C8)^DCF!C17+DCF!D16/(1+$C8)^DCF!D17+DCF!E16/(1+$C8)^DCF!E17+DCF!F16/(1+$C8)^DCF!F17+DCF!G16/(1+$C8)^DCF!G17+DCF!G10*(1+D$7)*(1-DCF!C25)/($C8-D$7)/(1+$C8)^DCF!G17+DCF!C31-DCF!C32-DCF!C33)/DCF!C35)</f>
        <v>29.379624346737128</v>
      </c>
      <c r="E8" s="33">
        <f>IF($C8&lt;=E$7,"NM",(DCF!C16/(1+$C8)^DCF!C17+DCF!D16/(1+$C8)^DCF!D17+DCF!E16/(1+$C8)^DCF!E17+DCF!F16/(1+$C8)^DCF!F17+DCF!G16/(1+$C8)^DCF!G17+DCF!G10*(1+E$7)*(1-DCF!C25)/($C8-E$7)/(1+$C8)^DCF!G17+DCF!C31-DCF!C32-DCF!C33)/DCF!C35)</f>
        <v>30.510739573679523</v>
      </c>
      <c r="F8" s="33">
        <f>IF($C8&lt;=F$7,"NM",(DCF!C16/(1+$C8)^DCF!C17+DCF!D16/(1+$C8)^DCF!D17+DCF!E16/(1+$C8)^DCF!E17+DCF!F16/(1+$C8)^DCF!F17+DCF!G16/(1+$C8)^DCF!G17+DCF!G10*(1+F$7)*(1-DCF!C25)/($C8-F$7)/(1+$C8)^DCF!G17+DCF!C31-DCF!C32-DCF!C33)/DCF!C35)</f>
        <v>31.767534270282187</v>
      </c>
      <c r="G8" s="33">
        <f>IF($C8&lt;=G$7,"NM",(DCF!C16/(1+$C8)^DCF!C17+DCF!D16/(1+$C8)^DCF!D17+DCF!E16/(1+$C8)^DCF!E17+DCF!F16/(1+$C8)^DCF!F17+DCF!G16/(1+$C8)^DCF!G17+DCF!G10*(1+G$7)*(1-DCF!C25)/($C8-G$7)/(1+$C8)^DCF!G17+DCF!C31-DCF!C32-DCF!C33)/DCF!C35)</f>
        <v>33.172187166485166</v>
      </c>
      <c r="H8" s="33">
        <f>IF($C8&lt;=H$7,"NM",(DCF!C16/(1+$C8)^DCF!C17+DCF!D16/(1+$C8)^DCF!D17+DCF!E16/(1+$C8)^DCF!E17+DCF!F16/(1+$C8)^DCF!F17+DCF!G16/(1+$C8)^DCF!G17+DCF!G10*(1+H$7)*(1-DCF!C25)/($C8-H$7)/(1+$C8)^DCF!G17+DCF!C31-DCF!C32-DCF!C33)/DCF!C35)</f>
        <v>34.752421674713517</v>
      </c>
      <c r="I8" s="33">
        <f>IF($C8&lt;=I$7,"NM",(DCF!C16/(1+$C8)^DCF!C17+DCF!D16/(1+$C8)^DCF!D17+DCF!E16/(1+$C8)^DCF!E17+DCF!F16/(1+$C8)^DCF!F17+DCF!G16/(1+$C8)^DCF!G17+DCF!G10*(1+I$7)*(1-DCF!C25)/($C8-I$7)/(1+$C8)^DCF!G17+DCF!C31-DCF!C32-DCF!C33)/DCF!C35)</f>
        <v>36.54335411737231</v>
      </c>
      <c r="J8" s="33">
        <f>IF($C8&lt;=J$7,"NM",(DCF!C16/(1+$C8)^DCF!C17+DCF!D16/(1+$C8)^DCF!D17+DCF!E16/(1+$C8)^DCF!E17+DCF!F16/(1+$C8)^DCF!F17+DCF!G16/(1+$C8)^DCF!G17+DCF!G10*(1+J$7)*(1-DCF!C25)/($C8-J$7)/(1+$C8)^DCF!G17+DCF!C31-DCF!C32-DCF!C33)/DCF!C35)</f>
        <v>38.590134051839506</v>
      </c>
      <c r="K8" s="1"/>
    </row>
    <row r="9" spans="1:11" x14ac:dyDescent="0.4">
      <c r="A9" s="1"/>
      <c r="B9" s="1"/>
      <c r="C9" s="18">
        <v>0.115</v>
      </c>
      <c r="D9" s="33">
        <f>IF($C9&lt;=D$7,"NM",(DCF!C16/(1+$C9)^DCF!C17+DCF!D16/(1+$C9)^DCF!D17+DCF!E16/(1+$C9)^DCF!E17+DCF!F16/(1+$C9)^DCF!F17+DCF!G16/(1+$C9)^DCF!G17+DCF!G10*(1+D$7)*(1-DCF!C25)/($C9-D$7)/(1+$C9)^DCF!G17+DCF!C31-DCF!C32-DCF!C33)/DCF!C35)</f>
        <v>28.05334756810954</v>
      </c>
      <c r="E9" s="33">
        <f>IF($C9&lt;=E$7,"NM",(DCF!C16/(1+$C9)^DCF!C17+DCF!D16/(1+$C9)^DCF!D17+DCF!E16/(1+$C9)^DCF!E17+DCF!F16/(1+$C9)^DCF!F17+DCF!G16/(1+$C9)^DCF!G17+DCF!G10*(1+E$7)*(1-DCF!C25)/($C9-E$7)/(1+$C9)^DCF!G17+DCF!C31-DCF!C32-DCF!C33)/DCF!C35)</f>
        <v>29.062211382171757</v>
      </c>
      <c r="F9" s="33">
        <f>IF($C9&lt;=F$7,"NM",(DCF!C16/(1+$C9)^DCF!C17+DCF!D16/(1+$C9)^DCF!D17+DCF!E16/(1+$C9)^DCF!E17+DCF!F16/(1+$C9)^DCF!F17+DCF!G16/(1+$C9)^DCF!G17+DCF!G10*(1+F$7)*(1-DCF!C25)/($C9-F$7)/(1+$C9)^DCF!G17+DCF!C31-DCF!C32-DCF!C33)/DCF!C35)</f>
        <v>30.177271387187893</v>
      </c>
      <c r="G9" s="33">
        <f>IF($C9&lt;=G$7,"NM",(DCF!C16/(1+$C9)^DCF!C17+DCF!D16/(1+$C9)^DCF!D17+DCF!E16/(1+$C9)^DCF!E17+DCF!F16/(1+$C9)^DCF!F17+DCF!G16/(1+$C9)^DCF!G17+DCF!G10*(1+G$7)*(1-DCF!C25)/($C9-G$7)/(1+$C9)^DCF!G17+DCF!C31-DCF!C32-DCF!C33)/DCF!C35)</f>
        <v>31.416226948316925</v>
      </c>
      <c r="H9" s="33">
        <f>IF($C9&lt;=H$7,"NM",(DCF!C16/(1+$C9)^DCF!C17+DCF!D16/(1+$C9)^DCF!D17+DCF!E16/(1+$C9)^DCF!E17+DCF!F16/(1+$C9)^DCF!F17+DCF!G16/(1+$C9)^DCF!G17+DCF!G10*(1+H$7)*(1-DCF!C25)/($C9-H$7)/(1+$C9)^DCF!G17+DCF!C31-DCF!C32-DCF!C33)/DCF!C35)</f>
        <v>32.800941987225855</v>
      </c>
      <c r="I9" s="33">
        <f>IF($C9&lt;=I$7,"NM",(DCF!C16/(1+$C9)^DCF!C17+DCF!D16/(1+$C9)^DCF!D17+DCF!E16/(1+$C9)^DCF!E17+DCF!F16/(1+$C9)^DCF!F17+DCF!G16/(1+$C9)^DCF!G17+DCF!G10*(1+I$7)*(1-DCF!C25)/($C9-I$7)/(1+$C9)^DCF!G17+DCF!C31-DCF!C32-DCF!C33)/DCF!C35)</f>
        <v>34.358746405998396</v>
      </c>
      <c r="J9" s="33">
        <f>IF($C9&lt;=J$7,"NM",(DCF!C16/(1+$C9)^DCF!C17+DCF!D16/(1+$C9)^DCF!D17+DCF!E16/(1+$C9)^DCF!E17+DCF!F16/(1+$C9)^DCF!F17+DCF!G16/(1+$C9)^DCF!G17+DCF!G10*(1+J$7)*(1-DCF!C25)/($C9-J$7)/(1+$C9)^DCF!G17+DCF!C31-DCF!C32-DCF!C33)/DCF!C35)</f>
        <v>36.124258080607284</v>
      </c>
      <c r="K9" s="1"/>
    </row>
    <row r="10" spans="1:11" x14ac:dyDescent="0.4">
      <c r="A10" s="1"/>
      <c r="B10" s="1"/>
      <c r="C10" s="18">
        <v>0.12</v>
      </c>
      <c r="D10" s="33">
        <f>IF($C10&lt;=D$7,"NM",(DCF!C16/(1+$C10)^DCF!C17+DCF!D16/(1+$C10)^DCF!D17+DCF!E16/(1+$C10)^DCF!E17+DCF!F16/(1+$C10)^DCF!F17+DCF!G16/(1+$C10)^DCF!G17+DCF!G10*(1+D$7)*(1-DCF!C25)/($C10-D$7)/(1+$C10)^DCF!G17+DCF!C31-DCF!C32-DCF!C33)/DCF!C35)</f>
        <v>26.852017481322505</v>
      </c>
      <c r="E10" s="33">
        <f>IF($C10&lt;=E$7,"NM",(DCF!C16/(1+$C10)^DCF!C17+DCF!D16/(1+$C10)^DCF!D17+DCF!E16/(1+$C10)^DCF!E17+DCF!F16/(1+$C10)^DCF!F17+DCF!G16/(1+$C10)^DCF!G17+DCF!G10*(1+E$7)*(1-DCF!C25)/($C10-E$7)/(1+$C10)^DCF!G17+DCF!C31-DCF!C32-DCF!C33)/DCF!C35)</f>
        <v>27.756206085070691</v>
      </c>
      <c r="F10" s="33">
        <f>IF($C10&lt;=F$7,"NM",(DCF!C16/(1+$C10)^DCF!C17+DCF!D16/(1+$C10)^DCF!D17+DCF!E16/(1+$C10)^DCF!E17+DCF!F16/(1+$C10)^DCF!F17+DCF!G16/(1+$C10)^DCF!G17+DCF!G10*(1+F$7)*(1-DCF!C25)/($C10-F$7)/(1+$C10)^DCF!G17+DCF!C31-DCF!C32-DCF!C33)/DCF!C35)</f>
        <v>28.750813549193701</v>
      </c>
      <c r="G10" s="33">
        <f>IF($C10&lt;=G$7,"NM",(DCF!C16/(1+$C10)^DCF!C17+DCF!D16/(1+$C10)^DCF!D17+DCF!E16/(1+$C10)^DCF!E17+DCF!F16/(1+$C10)^DCF!F17+DCF!G16/(1+$C10)^DCF!G17+DCF!G10*(1+G$7)*(1-DCF!C25)/($C10-G$7)/(1+$C10)^DCF!G17+DCF!C31-DCF!C32-DCF!C33)/DCF!C35)</f>
        <v>29.850116535855964</v>
      </c>
      <c r="H10" s="33">
        <f>IF($C10&lt;=H$7,"NM",(DCF!C16/(1+$C10)^DCF!C17+DCF!D16/(1+$C10)^DCF!D17+DCF!E16/(1+$C10)^DCF!E17+DCF!F16/(1+$C10)^DCF!F17+DCF!G16/(1+$C10)^DCF!G17+DCF!G10*(1+H$7)*(1-DCF!C25)/($C10-H$7)/(1+$C10)^DCF!G17+DCF!C31-DCF!C32-DCF!C33)/DCF!C35)</f>
        <v>31.071564298814046</v>
      </c>
      <c r="I10" s="33">
        <f>IF($C10&lt;=I$7,"NM",(DCF!C16/(1+$C10)^DCF!C17+DCF!D16/(1+$C10)^DCF!D17+DCF!E16/(1+$C10)^DCF!E17+DCF!F16/(1+$C10)^DCF!F17+DCF!G16/(1+$C10)^DCF!G17+DCF!G10*(1+I$7)*(1-DCF!C25)/($C10-I$7)/(1+$C10)^DCF!G17+DCF!C31-DCF!C32-DCF!C33)/DCF!C35)</f>
        <v>32.436711798590721</v>
      </c>
      <c r="J10" s="33">
        <f>IF($C10&lt;=J$7,"NM",(DCF!C16/(1+$C10)^DCF!C17+DCF!D16/(1+$C10)^DCF!D17+DCF!E16/(1+$C10)^DCF!E17+DCF!F16/(1+$C10)^DCF!F17+DCF!G16/(1+$C10)^DCF!G17+DCF!G10*(1+J$7)*(1-DCF!C25)/($C10-J$7)/(1+$C10)^DCF!G17+DCF!C31-DCF!C32-DCF!C33)/DCF!C35)</f>
        <v>33.972502735839484</v>
      </c>
      <c r="K10" s="1"/>
    </row>
    <row r="11" spans="1:11" x14ac:dyDescent="0.4">
      <c r="A11" s="1"/>
      <c r="B11" s="1"/>
      <c r="C11" s="18">
        <v>0.125</v>
      </c>
      <c r="D11" s="33">
        <f>IF($C11&lt;=D$7,"NM",(DCF!C16/(1+$C11)^DCF!C17+DCF!D16/(1+$C11)^DCF!D17+DCF!E16/(1+$C11)^DCF!E17+DCF!F16/(1+$C11)^DCF!F17+DCF!G16/(1+$C11)^DCF!G17+DCF!G10*(1+D$7)*(1-DCF!C25)/($C11-D$7)/(1+$C11)^DCF!G17+DCF!C31-DCF!C32-DCF!C33)/DCF!C35)</f>
        <v>25.759259852542797</v>
      </c>
      <c r="E11" s="33">
        <f>IF($C11&lt;=E$7,"NM",(DCF!C16/(1+$C11)^DCF!C17+DCF!D16/(1+$C11)^DCF!D17+DCF!E16/(1+$C11)^DCF!E17+DCF!F16/(1+$C11)^DCF!F17+DCF!G16/(1+$C11)^DCF!G17+DCF!G10*(1+E$7)*(1-DCF!C25)/($C11-E$7)/(1+$C11)^DCF!G17+DCF!C31-DCF!C32-DCF!C33)/DCF!C35)</f>
        <v>26.573208842118195</v>
      </c>
      <c r="F11" s="33">
        <f>IF($C11&lt;=F$7,"NM",(DCF!C16/(1+$C11)^DCF!C17+DCF!D16/(1+$C11)^DCF!D17+DCF!E16/(1+$C11)^DCF!E17+DCF!F16/(1+$C11)^DCF!F17+DCF!G16/(1+$C11)^DCF!G17+DCF!G10*(1+F$7)*(1-DCF!C25)/($C11-F$7)/(1+$C11)^DCF!G17+DCF!C31-DCF!C32-DCF!C33)/DCF!C35)</f>
        <v>27.464676783081725</v>
      </c>
      <c r="G11" s="33">
        <f>IF($C11&lt;=G$7,"NM",(DCF!C16/(1+$C11)^DCF!C17+DCF!D16/(1+$C11)^DCF!D17+DCF!E16/(1+$C11)^DCF!E17+DCF!F16/(1+$C11)^DCF!F17+DCF!G16/(1+$C11)^DCF!G17+DCF!G10*(1+G$7)*(1-DCF!C25)/($C11-G$7)/(1+$C11)^DCF!G17+DCF!C31-DCF!C32-DCF!C33)/DCF!C35)</f>
        <v>28.445291518141598</v>
      </c>
      <c r="H11" s="33">
        <f>IF($C11&lt;=H$7,"NM",(DCF!C16/(1+$C11)^DCF!C17+DCF!D16/(1+$C11)^DCF!D17+DCF!E16/(1+$C11)^DCF!E17+DCF!F16/(1+$C11)^DCF!F17+DCF!G16/(1+$C11)^DCF!G17+DCF!G10*(1+H$7)*(1-DCF!C25)/($C11-H$7)/(1+$C11)^DCF!G17+DCF!C31-DCF!C32-DCF!C33)/DCF!C35)</f>
        <v>29.529128856891994</v>
      </c>
      <c r="I11" s="33">
        <f>IF($C11&lt;=I$7,"NM",(DCF!C16/(1+$C11)^DCF!C17+DCF!D16/(1+$C11)^DCF!D17+DCF!E16/(1+$C11)^DCF!E17+DCF!F16/(1+$C11)^DCF!F17+DCF!G16/(1+$C11)^DCF!G17+DCF!G10*(1+I$7)*(1-DCF!C25)/($C11-I$7)/(1+$C11)^DCF!G17+DCF!C31-DCF!C32-DCF!C33)/DCF!C35)</f>
        <v>30.733392566614661</v>
      </c>
      <c r="J11" s="33">
        <f>IF($C11&lt;=J$7,"NM",(DCF!C16/(1+$C11)^DCF!C17+DCF!D16/(1+$C11)^DCF!D17+DCF!E16/(1+$C11)^DCF!E17+DCF!F16/(1+$C11)^DCF!F17+DCF!G16/(1+$C11)^DCF!G17+DCF!G10*(1+J$7)*(1-DCF!C25)/($C11-J$7)/(1+$C11)^DCF!G17+DCF!C31-DCF!C32-DCF!C33)/DCF!C35)</f>
        <v>32.0793343598341</v>
      </c>
      <c r="K11" s="1"/>
    </row>
    <row r="12" spans="1:11" x14ac:dyDescent="0.4">
      <c r="A12" s="1"/>
      <c r="B12" s="1"/>
      <c r="C12" s="18">
        <v>0.13</v>
      </c>
      <c r="D12" s="33">
        <f>IF($C12&lt;=D$7,"NM",(DCF!C16/(1+$C12)^DCF!C17+DCF!D16/(1+$C12)^DCF!D17+DCF!E16/(1+$C12)^DCF!E17+DCF!F16/(1+$C12)^DCF!F17+DCF!G16/(1+$C12)^DCF!G17+DCF!G10*(1+D$7)*(1-DCF!C25)/($C12-D$7)/(1+$C12)^DCF!G17+DCF!C31-DCF!C32-DCF!C33)/DCF!C35)</f>
        <v>24.761431135864136</v>
      </c>
      <c r="E12" s="33">
        <f>IF($C12&lt;=E$7,"NM",(DCF!C16/(1+$C12)^DCF!C17+DCF!D16/(1+$C12)^DCF!D17+DCF!E16/(1+$C12)^DCF!E17+DCF!F16/(1+$C12)^DCF!F17+DCF!G16/(1+$C12)^DCF!G17+DCF!G10*(1+E$7)*(1-DCF!C25)/($C12-E$7)/(1+$C12)^DCF!G17+DCF!C31-DCF!C32-DCF!C33)/DCF!C35)</f>
        <v>25.497100406457928</v>
      </c>
      <c r="F12" s="33">
        <f>IF($C12&lt;=F$7,"NM",(DCF!C16/(1+$C12)^DCF!C17+DCF!D16/(1+$C12)^DCF!D17+DCF!E16/(1+$C12)^DCF!E17+DCF!F16/(1+$C12)^DCF!F17+DCF!G16/(1+$C12)^DCF!G17+DCF!G10*(1+F$7)*(1-DCF!C25)/($C12-F$7)/(1+$C12)^DCF!G17+DCF!C31-DCF!C32-DCF!C33)/DCF!C35)</f>
        <v>26.299648701651158</v>
      </c>
      <c r="G12" s="33">
        <f>IF($C12&lt;=G$7,"NM",(DCF!C16/(1+$C12)^DCF!C17+DCF!D16/(1+$C12)^DCF!D17+DCF!E16/(1+$C12)^DCF!E17+DCF!F16/(1+$C12)^DCF!F17+DCF!G16/(1+$C12)^DCF!G17+DCF!G10*(1+G$7)*(1-DCF!C25)/($C12-G$7)/(1+$C12)^DCF!G17+DCF!C31-DCF!C32-DCF!C33)/DCF!C35)</f>
        <v>27.178630167815168</v>
      </c>
      <c r="H12" s="33">
        <f>IF($C12&lt;=H$7,"NM",(DCF!C16/(1+$C12)^DCF!C17+DCF!D16/(1+$C12)^DCF!D17+DCF!E16/(1+$C12)^DCF!E17+DCF!F16/(1+$C12)^DCF!F17+DCF!G16/(1+$C12)^DCF!G17+DCF!G10*(1+H$7)*(1-DCF!C25)/($C12-H$7)/(1+$C12)^DCF!G17+DCF!C31-DCF!C32-DCF!C33)/DCF!C35)</f>
        <v>28.145509780595585</v>
      </c>
      <c r="I12" s="33">
        <f>IF($C12&lt;=I$7,"NM",(DCF!C16/(1+$C12)^DCF!C17+DCF!D16/(1+$C12)^DCF!D17+DCF!E16/(1+$C12)^DCF!E17+DCF!F16/(1+$C12)^DCF!F17+DCF!G16/(1+$C12)^DCF!G17+DCF!G10*(1+I$7)*(1-DCF!C25)/($C12-I$7)/(1+$C12)^DCF!G17+DCF!C31-DCF!C32-DCF!C33)/DCF!C35)</f>
        <v>29.214166194721301</v>
      </c>
      <c r="J12" s="33">
        <f>IF($C12&lt;=J$7,"NM",(DCF!C16/(1+$C12)^DCF!C17+DCF!D16/(1+$C12)^DCF!D17+DCF!E16/(1+$C12)^DCF!E17+DCF!F16/(1+$C12)^DCF!F17+DCF!G16/(1+$C12)^DCF!G17+DCF!G10*(1+J$7)*(1-DCF!C25)/($C12-J$7)/(1+$C12)^DCF!G17+DCF!C31-DCF!C32-DCF!C33)/DCF!C35)</f>
        <v>30.401562210416547</v>
      </c>
      <c r="K12" s="1"/>
    </row>
    <row r="13" spans="1:11" x14ac:dyDescent="0.4">
      <c r="A13" s="1"/>
      <c r="B13" s="1"/>
      <c r="C13" s="18">
        <v>0.13500000000000001</v>
      </c>
      <c r="D13" s="33">
        <f>IF($C13&lt;=D$7,"NM",(DCF!C16/(1+$C13)^DCF!C17+DCF!D16/(1+$C13)^DCF!D17+DCF!E16/(1+$C13)^DCF!E17+DCF!F16/(1+$C13)^DCF!F17+DCF!G16/(1+$C13)^DCF!G17+DCF!G10*(1+D$7)*(1-DCF!C25)/($C13-D$7)/(1+$C13)^DCF!G17+DCF!C31-DCF!C32-DCF!C33)/DCF!C35)</f>
        <v>23.847072294458659</v>
      </c>
      <c r="E13" s="33">
        <f>IF($C13&lt;=E$7,"NM",(DCF!C16/(1+$C13)^DCF!C17+DCF!D16/(1+$C13)^DCF!D17+DCF!E16/(1+$C13)^DCF!E17+DCF!F16/(1+$C13)^DCF!F17+DCF!G16/(1+$C13)^DCF!G17+DCF!G10*(1+E$7)*(1-DCF!C25)/($C13-E$7)/(1+$C13)^DCF!G17+DCF!C31-DCF!C32-DCF!C33)/DCF!C35)</f>
        <v>24.514449666769707</v>
      </c>
      <c r="F13" s="33">
        <f>IF($C13&lt;=F$7,"NM",(DCF!C16/(1+$C13)^DCF!C17+DCF!D16/(1+$C13)^DCF!D17+DCF!E16/(1+$C13)^DCF!E17+DCF!F16/(1+$C13)^DCF!F17+DCF!G16/(1+$C13)^DCF!G17+DCF!G10*(1+F$7)*(1-DCF!C25)/($C13-F$7)/(1+$C13)^DCF!G17+DCF!C31-DCF!C32-DCF!C33)/DCF!C35)</f>
        <v>25.239859854064331</v>
      </c>
      <c r="G13" s="33">
        <f>IF($C13&lt;=G$7,"NM",(DCF!C16/(1+$C13)^DCF!C17+DCF!D16/(1+$C13)^DCF!D17+DCF!E16/(1+$C13)^DCF!E17+DCF!F16/(1+$C13)^DCF!F17+DCF!G16/(1+$C13)^DCF!G17+DCF!G10*(1+G$7)*(1-DCF!C25)/($C13-G$7)/(1+$C13)^DCF!G17+DCF!C31-DCF!C32-DCF!C33)/DCF!C35)</f>
        <v>26.031216422022087</v>
      </c>
      <c r="H13" s="33">
        <f>IF($C13&lt;=H$7,"NM",(DCF!C16/(1+$C13)^DCF!C17+DCF!D16/(1+$C13)^DCF!D17+DCF!E16/(1+$C13)^DCF!E17+DCF!F16/(1+$C13)^DCF!F17+DCF!G16/(1+$C13)^DCF!G17+DCF!G10*(1+H$7)*(1-DCF!C25)/($C13-H$7)/(1+$C13)^DCF!G17+DCF!C31-DCF!C32-DCF!C33)/DCF!C35)</f>
        <v>26.897940282166314</v>
      </c>
      <c r="I13" s="33">
        <f>IF($C13&lt;=I$7,"NM",(DCF!C16/(1+$C13)^DCF!C17+DCF!D16/(1+$C13)^DCF!D17+DCF!E16/(1+$C13)^DCF!E17+DCF!F16/(1+$C13)^DCF!F17+DCF!G16/(1+$C13)^DCF!G17+DCF!G10*(1+I$7)*(1-DCF!C25)/($C13-I$7)/(1+$C13)^DCF!G17+DCF!C31-DCF!C32-DCF!C33)/DCF!C35)</f>
        <v>27.851336528324957</v>
      </c>
      <c r="J13" s="33">
        <f>IF($C13&lt;=J$7,"NM",(DCF!C16/(1+$C13)^DCF!C17+DCF!D16/(1+$C13)^DCF!D17+DCF!E16/(1+$C13)^DCF!E17+DCF!F16/(1+$C13)^DCF!F17+DCF!G16/(1+$C13)^DCF!G17+DCF!G10*(1+J$7)*(1-DCF!C25)/($C13-J$7)/(1+$C13)^DCF!G17+DCF!C31-DCF!C32-DCF!C33)/DCF!C35)</f>
        <v>28.905090274079249</v>
      </c>
      <c r="K13" s="1"/>
    </row>
    <row r="14" spans="1:11" x14ac:dyDescent="0.4">
      <c r="A14" s="1"/>
      <c r="B14" s="1"/>
      <c r="C14" s="18">
        <v>0.14000000000000001</v>
      </c>
      <c r="D14" s="33">
        <f>IF($C14&lt;=D$7,"NM",(DCF!C16/(1+$C14)^DCF!C17+DCF!D16/(1+$C14)^DCF!D17+DCF!E16/(1+$C14)^DCF!E17+DCF!F16/(1+$C14)^DCF!F17+DCF!G16/(1+$C14)^DCF!G17+DCF!G10*(1+D$7)*(1-DCF!C25)/($C14-D$7)/(1+$C14)^DCF!G17+DCF!C31-DCF!C32-DCF!C33)/DCF!C35)</f>
        <v>23.006488664166746</v>
      </c>
      <c r="E14" s="33">
        <f>IF($C14&lt;=E$7,"NM",(DCF!C16/(1+$C14)^DCF!C17+DCF!D16/(1+$C14)^DCF!D17+DCF!E16/(1+$C14)^DCF!E17+DCF!F16/(1+$C14)^DCF!F17+DCF!G16/(1+$C14)^DCF!G17+DCF!G10*(1+E$7)*(1-DCF!C25)/($C14-E$7)/(1+$C14)^DCF!G17+DCF!C31-DCF!C32-DCF!C33)/DCF!C35)</f>
        <v>23.613975980488839</v>
      </c>
      <c r="F14" s="33">
        <f>IF($C14&lt;=F$7,"NM",(DCF!C16/(1+$C14)^DCF!C17+DCF!D16/(1+$C14)^DCF!D17+DCF!E16/(1+$C14)^DCF!E17+DCF!F16/(1+$C14)^DCF!F17+DCF!G16/(1+$C14)^DCF!G17+DCF!G10*(1+F$7)*(1-DCF!C25)/($C14-F$7)/(1+$C14)^DCF!G17+DCF!C31-DCF!C32-DCF!C33)/DCF!C35)</f>
        <v>24.272087239837784</v>
      </c>
      <c r="G14" s="33">
        <f>IF($C14&lt;=G$7,"NM",(DCF!C16/(1+$C14)^DCF!C17+DCF!D16/(1+$C14)^DCF!D17+DCF!E16/(1+$C14)^DCF!E17+DCF!F16/(1+$C14)^DCF!F17+DCF!G16/(1+$C14)^DCF!G17+DCF!G10*(1+G$7)*(1-DCF!C25)/($C14-G$7)/(1+$C14)^DCF!G17+DCF!C31-DCF!C32-DCF!C33)/DCF!C35)</f>
        <v>24.987425565217062</v>
      </c>
      <c r="H14" s="33">
        <f>IF($C14&lt;=H$7,"NM",(DCF!C16/(1+$C14)^DCF!C17+DCF!D16/(1+$C14)^DCF!D17+DCF!E16/(1+$C14)^DCF!E17+DCF!F16/(1+$C14)^DCF!F17+DCF!G16/(1+$C14)^DCF!G17+DCF!G10*(1+H$7)*(1-DCF!C25)/($C14-H$7)/(1+$C14)^DCF!G17+DCF!C31-DCF!C32-DCF!C33)/DCF!C35)</f>
        <v>25.767794647449012</v>
      </c>
      <c r="I14" s="33">
        <f>IF($C14&lt;=I$7,"NM",(DCF!C16/(1+$C14)^DCF!C17+DCF!D16/(1+$C14)^DCF!D17+DCF!E16/(1+$C14)^DCF!E17+DCF!F16/(1+$C14)^DCF!F17+DCF!G16/(1+$C14)^DCF!G17+DCF!G10*(1+I$7)*(1-DCF!C25)/($C14-I$7)/(1+$C14)^DCF!G17+DCF!C31-DCF!C32-DCF!C33)/DCF!C35)</f>
        <v>26.622484594655429</v>
      </c>
      <c r="J14" s="33">
        <f>IF($C14&lt;=J$7,"NM",(DCF!C16/(1+$C14)^DCF!C17+DCF!D16/(1+$C14)^DCF!D17+DCF!E16/(1+$C14)^DCF!E17+DCF!F16/(1+$C14)^DCF!F17+DCF!G16/(1+$C14)^DCF!G17+DCF!G10*(1+J$7)*(1-DCF!C25)/($C14-J$7)/(1+$C14)^DCF!G17+DCF!C31-DCF!C32-DCF!C33)/DCF!C35)</f>
        <v>27.562643536582488</v>
      </c>
      <c r="K14" s="1"/>
    </row>
    <row r="15" spans="1:11" x14ac:dyDescent="0.4">
      <c r="A15" s="1"/>
      <c r="B15" s="1"/>
      <c r="C15" s="18">
        <v>0.14499999999999999</v>
      </c>
      <c r="D15" s="33">
        <f>IF($C15&lt;=D$7,"NM",(DCF!C16/(1+$C15)^DCF!C17+DCF!D16/(1+$C15)^DCF!D17+DCF!E16/(1+$C15)^DCF!E17+DCF!F16/(1+$C15)^DCF!F17+DCF!G16/(1+$C15)^DCF!G17+DCF!G10*(1+D$7)*(1-DCF!C25)/($C15-D$7)/(1+$C15)^DCF!G17+DCF!C31-DCF!C32-DCF!C33)/DCF!C35)</f>
        <v>22.231423181819785</v>
      </c>
      <c r="E15" s="33">
        <f>IF($C15&lt;=E$7,"NM",(DCF!C16/(1+$C15)^DCF!C17+DCF!D16/(1+$C15)^DCF!D17+DCF!E16/(1+$C15)^DCF!E17+DCF!F16/(1+$C15)^DCF!F17+DCF!G16/(1+$C15)^DCF!G17+DCF!G10*(1+E$7)*(1-DCF!C25)/($C15-E$7)/(1+$C15)^DCF!G17+DCF!C31-DCF!C32-DCF!C33)/DCF!C35)</f>
        <v>22.786135585089113</v>
      </c>
      <c r="F15" s="33">
        <f>IF($C15&lt;=F$7,"NM",(DCF!C16/(1+$C15)^DCF!C17+DCF!D16/(1+$C15)^DCF!D17+DCF!E16/(1+$C15)^DCF!E17+DCF!F16/(1+$C15)^DCF!F17+DCF!G16/(1+$C15)^DCF!G17+DCF!G10*(1+F$7)*(1-DCF!C25)/($C15-F$7)/(1+$C15)^DCF!G17+DCF!C31-DCF!C32-DCF!C33)/DCF!C35)</f>
        <v>23.385224980619999</v>
      </c>
      <c r="G15" s="33">
        <f>IF($C15&lt;=G$7,"NM",(DCF!C16/(1+$C15)^DCF!C17+DCF!D16/(1+$C15)^DCF!D17+DCF!E16/(1+$C15)^DCF!E17+DCF!F16/(1+$C15)^DCF!F17+DCF!G16/(1+$C15)^DCF!G17+DCF!G10*(1+G$7)*(1-DCF!C25)/($C15-G$7)/(1+$C15)^DCF!G17+DCF!C31-DCF!C32-DCF!C33)/DCF!C35)</f>
        <v>24.034238492445123</v>
      </c>
      <c r="H15" s="33">
        <f>IF($C15&lt;=H$7,"NM",(DCF!C16/(1+$C15)^DCF!C17+DCF!D16/(1+$C15)^DCF!D17+DCF!E16/(1+$C15)^DCF!E17+DCF!F16/(1+$C15)^DCF!F17+DCF!G16/(1+$C15)^DCF!G17+DCF!G10*(1+H$7)*(1-DCF!C25)/($C15-H$7)/(1+$C15)^DCF!G17+DCF!C31-DCF!C32-DCF!C33)/DCF!C35)</f>
        <v>24.739687961820259</v>
      </c>
      <c r="I15" s="33">
        <f>IF($C15&lt;=I$7,"NM",(DCF!C16/(1+$C15)^DCF!C17+DCF!D16/(1+$C15)^DCF!D17+DCF!E16/(1+$C15)^DCF!E17+DCF!F16/(1+$C15)^DCF!F17+DCF!G16/(1+$C15)^DCF!G17+DCF!G10*(1+I$7)*(1-DCF!C25)/($C15-I$7)/(1+$C15)^DCF!G17+DCF!C31-DCF!C32-DCF!C33)/DCF!C35)</f>
        <v>25.509269201138583</v>
      </c>
      <c r="J15" s="33">
        <f>IF($C15&lt;=J$7,"NM",(DCF!C16/(1+$C15)^DCF!C17+DCF!D16/(1+$C15)^DCF!D17+DCF!E16/(1+$C15)^DCF!E17+DCF!F16/(1+$C15)^DCF!F17+DCF!G16/(1+$C15)^DCF!G17+DCF!G10*(1+J$7)*(1-DCF!C25)/($C15-J$7)/(1+$C15)^DCF!G17+DCF!C31-DCF!C32-DCF!C33)/DCF!C35)</f>
        <v>26.352143891820564</v>
      </c>
      <c r="K15" s="1"/>
    </row>
    <row r="16" spans="1:11" x14ac:dyDescent="0.4">
      <c r="A16" s="1"/>
      <c r="B16" s="1"/>
      <c r="C16" s="18">
        <v>0.15</v>
      </c>
      <c r="D16" s="33">
        <f>IF($C16&lt;=D$7,"NM",(DCF!C16/(1+$C16)^DCF!C17+DCF!D16/(1+$C16)^DCF!D17+DCF!E16/(1+$C16)^DCF!E17+DCF!F16/(1+$C16)^DCF!F17+DCF!G16/(1+$C16)^DCF!G17+DCF!G10*(1+D$7)*(1-DCF!C25)/($C16-D$7)/(1+$C16)^DCF!G17+DCF!C31-DCF!C32-DCF!C33)/DCF!C35)</f>
        <v>21.514799637079001</v>
      </c>
      <c r="E16" s="33">
        <f>IF($C16&lt;=E$7,"NM",(DCF!C16/(1+$C16)^DCF!C17+DCF!D16/(1+$C16)^DCF!D17+DCF!E16/(1+$C16)^DCF!E17+DCF!F16/(1+$C16)^DCF!F17+DCF!G16/(1+$C16)^DCF!G17+DCF!G10*(1+E$7)*(1-DCF!C25)/($C16-E$7)/(1+$C16)^DCF!G17+DCF!C31-DCF!C32-DCF!C33)/DCF!C35)</f>
        <v>22.022799919008172</v>
      </c>
      <c r="F16" s="33">
        <f>IF($C16&lt;=F$7,"NM",(DCF!C16/(1+$C16)^DCF!C17+DCF!D16/(1+$C16)^DCF!D17+DCF!E16/(1+$C16)^DCF!E17+DCF!F16/(1+$C16)^DCF!F17+DCF!G16/(1+$C16)^DCF!G17+DCF!G10*(1+F$7)*(1-DCF!C25)/($C16-F$7)/(1+$C16)^DCF!G17+DCF!C31-DCF!C32-DCF!C33)/DCF!C35)</f>
        <v>22.569877145701131</v>
      </c>
      <c r="G16" s="33">
        <f>IF($C16&lt;=G$7,"NM",(DCF!C16/(1+$C16)^DCF!C17+DCF!D16/(1+$C16)^DCF!D17+DCF!E16/(1+$C16)^DCF!E17+DCF!F16/(1+$C16)^DCF!F17+DCF!G16/(1+$C16)^DCF!G17+DCF!G10*(1+G$7)*(1-DCF!C25)/($C16-G$7)/(1+$C16)^DCF!G17+DCF!C31-DCF!C32-DCF!C33)/DCF!C35)</f>
        <v>23.160720550529522</v>
      </c>
      <c r="H16" s="33">
        <f>IF($C16&lt;=H$7,"NM",(DCF!C16/(1+$C16)^DCF!C17+DCF!D16/(1+$C16)^DCF!D17+DCF!E16/(1+$C16)^DCF!E17+DCF!F16/(1+$C16)^DCF!F17+DCF!G16/(1+$C16)^DCF!G17+DCF!G10*(1+H$7)*(1-DCF!C25)/($C16-H$7)/(1+$C16)^DCF!G17+DCF!C31-DCF!C32-DCF!C33)/DCF!C35)</f>
        <v>23.800800905760283</v>
      </c>
      <c r="I16" s="33">
        <f>IF($C16&lt;=I$7,"NM",(DCF!C16/(1+$C16)^DCF!C17+DCF!D16/(1+$C16)^DCF!D17+DCF!E16/(1+$C16)^DCF!E17+DCF!F16/(1+$C16)^DCF!F17+DCF!G16/(1+$C16)^DCF!G17+DCF!G10*(1+I$7)*(1-DCF!C25)/($C16-I$7)/(1+$C16)^DCF!G17+DCF!C31-DCF!C32-DCF!C33)/DCF!C35)</f>
        <v>24.496540422315455</v>
      </c>
      <c r="J16" s="33">
        <f>IF($C16&lt;=J$7,"NM",(DCF!C16/(1+$C16)^DCF!C17+DCF!D16/(1+$C16)^DCF!D17+DCF!E16/(1+$C16)^DCF!E17+DCF!F16/(1+$C16)^DCF!F17+DCF!G16/(1+$C16)^DCF!G17+DCF!G10*(1+J$7)*(1-DCF!C25)/($C16-J$7)/(1+$C16)^DCF!G17+DCF!C31-DCF!C32-DCF!C33)/DCF!C35)</f>
        <v>25.255528985830196</v>
      </c>
      <c r="K16" s="1"/>
    </row>
    <row r="17" spans="1:1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4">
      <c r="A19" s="1"/>
      <c r="B19" s="4" t="s">
        <v>315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4">
      <c r="A20" s="1"/>
      <c r="B20" s="1"/>
      <c r="C20" s="1"/>
      <c r="D20" s="18">
        <v>0.1</v>
      </c>
      <c r="E20" s="18">
        <v>0.125</v>
      </c>
      <c r="F20" s="18">
        <v>0.15</v>
      </c>
      <c r="G20" s="18">
        <v>0.17499999999999999</v>
      </c>
      <c r="H20" s="18">
        <v>0.2</v>
      </c>
      <c r="I20" s="18">
        <v>0.22500000000000001</v>
      </c>
      <c r="J20" s="18">
        <v>0.25</v>
      </c>
      <c r="K20" s="1"/>
    </row>
    <row r="21" spans="1:11" x14ac:dyDescent="0.4">
      <c r="A21" s="1"/>
      <c r="B21" s="1"/>
      <c r="C21" s="18">
        <v>0.11</v>
      </c>
      <c r="D21" s="33">
        <f>IF($C21&lt;=DCF!C24,"NM",(DCF!C16/(1+$C21)^DCF!C17+DCF!D16/(1+$C21)^DCF!D17+DCF!E16/(1+$C21)^DCF!E17+DCF!F16/(1+$C21)^DCF!F17+DCF!G16/(1+$C21)^DCF!G17+DCF!G10*(1+DCF!C24)*(1-D$20)/($C21-DCF!C24)/(1+$C21)^DCF!G17+DCF!C31-DCF!C32-DCF!C33)/DCF!C35)</f>
        <v>36.090638285285273</v>
      </c>
      <c r="E21" s="33">
        <f>IF($C21&lt;=DCF!C24,"NM",(DCF!C16/(1+$C21)^DCF!C17+DCF!D16/(1+$C21)^DCF!D17+DCF!E16/(1+$C21)^DCF!E17+DCF!F16/(1+$C21)^DCF!F17+DCF!G16/(1+$C21)^DCF!G17+DCF!G10*(1+DCF!C24)*(1-E$20)/($C21-DCF!C24)/(1+$C21)^DCF!G17+DCF!C31-DCF!C32-DCF!C33)/DCF!C35)</f>
        <v>35.361025505585246</v>
      </c>
      <c r="F21" s="33">
        <f>IF($C21&lt;=DCF!C24,"NM",(DCF!C16/(1+$C21)^DCF!C17+DCF!D16/(1+$C21)^DCF!D17+DCF!E16/(1+$C21)^DCF!E17+DCF!F16/(1+$C21)^DCF!F17+DCF!G16/(1+$C21)^DCF!G17+DCF!G10*(1+DCF!C24)*(1-F$20)/($C21-DCF!C24)/(1+$C21)^DCF!G17+DCF!C31-DCF!C32-DCF!C33)/DCF!C35)</f>
        <v>34.63141272588522</v>
      </c>
      <c r="G21" s="33">
        <f>IF($C21&lt;=DCF!C24,"NM",(DCF!C16/(1+$C21)^DCF!C17+DCF!D16/(1+$C21)^DCF!D17+DCF!E16/(1+$C21)^DCF!E17+DCF!F16/(1+$C21)^DCF!F17+DCF!G16/(1+$C21)^DCF!G17+DCF!G10*(1+DCF!C24)*(1-G$20)/($C21-DCF!C24)/(1+$C21)^DCF!G17+DCF!C31-DCF!C32-DCF!C33)/DCF!C35)</f>
        <v>33.901799946185186</v>
      </c>
      <c r="H21" s="33">
        <f>IF($C21&lt;=DCF!C24,"NM",(DCF!C16/(1+$C21)^DCF!C17+DCF!D16/(1+$C21)^DCF!D17+DCF!E16/(1+$C21)^DCF!E17+DCF!F16/(1+$C21)^DCF!F17+DCF!G16/(1+$C21)^DCF!G17+DCF!G10*(1+DCF!C24)*(1-H$20)/($C21-DCF!C24)/(1+$C21)^DCF!G17+DCF!C31-DCF!C32-DCF!C33)/DCF!C35)</f>
        <v>33.172187166485166</v>
      </c>
      <c r="I21" s="33">
        <f>IF($C21&lt;=DCF!C24,"NM",(DCF!C16/(1+$C21)^DCF!C17+DCF!D16/(1+$C21)^DCF!D17+DCF!E16/(1+$C21)^DCF!E17+DCF!F16/(1+$C21)^DCF!F17+DCF!G16/(1+$C21)^DCF!G17+DCF!G10*(1+DCF!C24)*(1-I$20)/($C21-DCF!C24)/(1+$C21)^DCF!G17+DCF!C31-DCF!C32-DCF!C33)/DCF!C35)</f>
        <v>32.442574386785139</v>
      </c>
      <c r="J21" s="33">
        <f>IF($C21&lt;=DCF!C24,"NM",(DCF!C16/(1+$C21)^DCF!C17+DCF!D16/(1+$C21)^DCF!D17+DCF!E16/(1+$C21)^DCF!E17+DCF!F16/(1+$C21)^DCF!F17+DCF!G16/(1+$C21)^DCF!G17+DCF!G10*(1+DCF!C24)*(1-J$20)/($C21-DCF!C24)/(1+$C21)^DCF!G17+DCF!C31-DCF!C32-DCF!C33)/DCF!C35)</f>
        <v>31.712961607085113</v>
      </c>
      <c r="K21" s="1"/>
    </row>
    <row r="22" spans="1:11" x14ac:dyDescent="0.4">
      <c r="A22" s="1"/>
      <c r="B22" s="1"/>
      <c r="C22" s="18">
        <v>0.115</v>
      </c>
      <c r="D22" s="33">
        <f>IF($C22&lt;=DCF!C24,"NM",(DCF!C16/(1+$C22)^DCF!C17+DCF!D16/(1+$C22)^DCF!D17+DCF!E16/(1+$C22)^DCF!E17+DCF!F16/(1+$C22)^DCF!F17+DCF!G16/(1+$C22)^DCF!G17+DCF!G10*(1+DCF!C24)*(1-D$20)/($C22-DCF!C24)/(1+$C22)^DCF!G17+DCF!C31-DCF!C32-DCF!C33)/DCF!C35)</f>
        <v>34.121233624660888</v>
      </c>
      <c r="E22" s="33">
        <f>IF($C22&lt;=DCF!C24,"NM",(DCF!C16/(1+$C22)^DCF!C17+DCF!D16/(1+$C22)^DCF!D17+DCF!E16/(1+$C22)^DCF!E17+DCF!F16/(1+$C22)^DCF!F17+DCF!G16/(1+$C22)^DCF!G17+DCF!G10*(1+DCF!C24)*(1-E$20)/($C22-DCF!C24)/(1+$C22)^DCF!G17+DCF!C31-DCF!C32-DCF!C33)/DCF!C35)</f>
        <v>33.444981955574896</v>
      </c>
      <c r="F22" s="33">
        <f>IF($C22&lt;=DCF!C24,"NM",(DCF!C16/(1+$C22)^DCF!C17+DCF!D16/(1+$C22)^DCF!D17+DCF!E16/(1+$C22)^DCF!E17+DCF!F16/(1+$C22)^DCF!F17+DCF!G16/(1+$C22)^DCF!G17+DCF!G10*(1+DCF!C24)*(1-F$20)/($C22-DCF!C24)/(1+$C22)^DCF!G17+DCF!C31-DCF!C32-DCF!C33)/DCF!C35)</f>
        <v>32.768730286488896</v>
      </c>
      <c r="G22" s="33">
        <f>IF($C22&lt;=DCF!C24,"NM",(DCF!C16/(1+$C22)^DCF!C17+DCF!D16/(1+$C22)^DCF!D17+DCF!E16/(1+$C22)^DCF!E17+DCF!F16/(1+$C22)^DCF!F17+DCF!G16/(1+$C22)^DCF!G17+DCF!G10*(1+DCF!C24)*(1-G$20)/($C22-DCF!C24)/(1+$C22)^DCF!G17+DCF!C31-DCF!C32-DCF!C33)/DCF!C35)</f>
        <v>32.092478617402918</v>
      </c>
      <c r="H22" s="33">
        <f>IF($C22&lt;=DCF!C24,"NM",(DCF!C16/(1+$C22)^DCF!C17+DCF!D16/(1+$C22)^DCF!D17+DCF!E16/(1+$C22)^DCF!E17+DCF!F16/(1+$C22)^DCF!F17+DCF!G16/(1+$C22)^DCF!G17+DCF!G10*(1+DCF!C24)*(1-H$20)/($C22-DCF!C24)/(1+$C22)^DCF!G17+DCF!C31-DCF!C32-DCF!C33)/DCF!C35)</f>
        <v>31.416226948316925</v>
      </c>
      <c r="I22" s="33">
        <f>IF($C22&lt;=DCF!C24,"NM",(DCF!C16/(1+$C22)^DCF!C17+DCF!D16/(1+$C22)^DCF!D17+DCF!E16/(1+$C22)^DCF!E17+DCF!F16/(1+$C22)^DCF!F17+DCF!G16/(1+$C22)^DCF!G17+DCF!G10*(1+DCF!C24)*(1-I$20)/($C22-DCF!C24)/(1+$C22)^DCF!G17+DCF!C31-DCF!C32-DCF!C33)/DCF!C35)</f>
        <v>30.739975279230944</v>
      </c>
      <c r="J22" s="33">
        <f>IF($C22&lt;=DCF!C24,"NM",(DCF!C16/(1+$C22)^DCF!C17+DCF!D16/(1+$C22)^DCF!D17+DCF!E16/(1+$C22)^DCF!E17+DCF!F16/(1+$C22)^DCF!F17+DCF!G16/(1+$C22)^DCF!G17+DCF!G10*(1+DCF!C24)*(1-J$20)/($C22-DCF!C24)/(1+$C22)^DCF!G17+DCF!C31-DCF!C32-DCF!C33)/DCF!C35)</f>
        <v>30.063723610144955</v>
      </c>
      <c r="K22" s="1"/>
    </row>
    <row r="23" spans="1:11" x14ac:dyDescent="0.4">
      <c r="A23" s="1"/>
      <c r="B23" s="1"/>
      <c r="C23" s="18">
        <v>0.12</v>
      </c>
      <c r="D23" s="33">
        <f>IF($C23&lt;=DCF!C24,"NM",(DCF!C16/(1+$C23)^DCF!C17+DCF!D16/(1+$C23)^DCF!D17+DCF!E16/(1+$C23)^DCF!E17+DCF!F16/(1+$C23)^DCF!F17+DCF!G16/(1+$C23)^DCF!G17+DCF!G10*(1+DCF!C24)*(1-D$20)/($C23-DCF!C24)/(1+$C23)^DCF!G17+DCF!C31-DCF!C32-DCF!C33)/DCF!C35)</f>
        <v>32.365262878107814</v>
      </c>
      <c r="E23" s="33">
        <f>IF($C23&lt;=DCF!C24,"NM",(DCF!C16/(1+$C23)^DCF!C17+DCF!D16/(1+$C23)^DCF!D17+DCF!E16/(1+$C23)^DCF!E17+DCF!F16/(1+$C23)^DCF!F17+DCF!G16/(1+$C23)^DCF!G17+DCF!G10*(1+DCF!C24)*(1-E$20)/($C23-DCF!C24)/(1+$C23)^DCF!G17+DCF!C31-DCF!C32-DCF!C33)/DCF!C35)</f>
        <v>31.736476292544843</v>
      </c>
      <c r="F23" s="33">
        <f>IF($C23&lt;=DCF!C24,"NM",(DCF!C16/(1+$C23)^DCF!C17+DCF!D16/(1+$C23)^DCF!D17+DCF!E16/(1+$C23)^DCF!E17+DCF!F16/(1+$C23)^DCF!F17+DCF!G16/(1+$C23)^DCF!G17+DCF!G10*(1+DCF!C24)*(1-F$20)/($C23-DCF!C24)/(1+$C23)^DCF!G17+DCF!C31-DCF!C32-DCF!C33)/DCF!C35)</f>
        <v>31.107689706981883</v>
      </c>
      <c r="G23" s="33">
        <f>IF($C23&lt;=DCF!C24,"NM",(DCF!C16/(1+$C23)^DCF!C17+DCF!D16/(1+$C23)^DCF!D17+DCF!E16/(1+$C23)^DCF!E17+DCF!F16/(1+$C23)^DCF!F17+DCF!G16/(1+$C23)^DCF!G17+DCF!G10*(1+DCF!C24)*(1-G$20)/($C23-DCF!C24)/(1+$C23)^DCF!G17+DCF!C31-DCF!C32-DCF!C33)/DCF!C35)</f>
        <v>30.478903121418924</v>
      </c>
      <c r="H23" s="33">
        <f>IF($C23&lt;=DCF!C24,"NM",(DCF!C16/(1+$C23)^DCF!C17+DCF!D16/(1+$C23)^DCF!D17+DCF!E16/(1+$C23)^DCF!E17+DCF!F16/(1+$C23)^DCF!F17+DCF!G16/(1+$C23)^DCF!G17+DCF!G10*(1+DCF!C24)*(1-H$20)/($C23-DCF!C24)/(1+$C23)^DCF!G17+DCF!C31-DCF!C32-DCF!C33)/DCF!C35)</f>
        <v>29.850116535855964</v>
      </c>
      <c r="I23" s="33">
        <f>IF($C23&lt;=DCF!C24,"NM",(DCF!C16/(1+$C23)^DCF!C17+DCF!D16/(1+$C23)^DCF!D17+DCF!E16/(1+$C23)^DCF!E17+DCF!F16/(1+$C23)^DCF!F17+DCF!G16/(1+$C23)^DCF!G17+DCF!G10*(1+DCF!C24)*(1-I$20)/($C23-DCF!C24)/(1+$C23)^DCF!G17+DCF!C31-DCF!C32-DCF!C33)/DCF!C35)</f>
        <v>29.221329950293008</v>
      </c>
      <c r="J23" s="33">
        <f>IF($C23&lt;=DCF!C24,"NM",(DCF!C16/(1+$C23)^DCF!C17+DCF!D16/(1+$C23)^DCF!D17+DCF!E16/(1+$C23)^DCF!E17+DCF!F16/(1+$C23)^DCF!F17+DCF!G16/(1+$C23)^DCF!G17+DCF!G10*(1+DCF!C24)*(1-J$20)/($C23-DCF!C24)/(1+$C23)^DCF!G17+DCF!C31-DCF!C32-DCF!C33)/DCF!C35)</f>
        <v>28.592543364730044</v>
      </c>
      <c r="K23" s="1"/>
    </row>
    <row r="24" spans="1:11" x14ac:dyDescent="0.4">
      <c r="A24" s="1"/>
      <c r="B24" s="1"/>
      <c r="C24" s="18">
        <v>0.125</v>
      </c>
      <c r="D24" s="33">
        <f>IF($C24&lt;=DCF!C24,"NM",(DCF!C16/(1+$C24)^DCF!C17+DCF!D16/(1+$C24)^DCF!D17+DCF!E16/(1+$C24)^DCF!E17+DCF!F16/(1+$C24)^DCF!F17+DCF!G16/(1+$C24)^DCF!G17+DCF!G10*(1+DCF!C24)*(1-D$20)/($C24-DCF!C24)/(1+$C24)^DCF!G17+DCF!C31-DCF!C32-DCF!C33)/DCF!C35)</f>
        <v>30.790595092826475</v>
      </c>
      <c r="E24" s="33">
        <f>IF($C24&lt;=DCF!C24,"NM",(DCF!C16/(1+$C24)^DCF!C17+DCF!D16/(1+$C24)^DCF!D17+DCF!E16/(1+$C24)^DCF!E17+DCF!F16/(1+$C24)^DCF!F17+DCF!G16/(1+$C24)^DCF!G17+DCF!G10*(1+DCF!C24)*(1-E$20)/($C24-DCF!C24)/(1+$C24)^DCF!G17+DCF!C31-DCF!C32-DCF!C33)/DCF!C35)</f>
        <v>30.204269199155256</v>
      </c>
      <c r="F24" s="33">
        <f>IF($C24&lt;=DCF!C24,"NM",(DCF!C16/(1+$C24)^DCF!C17+DCF!D16/(1+$C24)^DCF!D17+DCF!E16/(1+$C24)^DCF!E17+DCF!F16/(1+$C24)^DCF!F17+DCF!G16/(1+$C24)^DCF!G17+DCF!G10*(1+DCF!C24)*(1-F$20)/($C24-DCF!C24)/(1+$C24)^DCF!G17+DCF!C31-DCF!C32-DCF!C33)/DCF!C35)</f>
        <v>29.617943305484037</v>
      </c>
      <c r="G24" s="33">
        <f>IF($C24&lt;=DCF!C24,"NM",(DCF!C16/(1+$C24)^DCF!C17+DCF!D16/(1+$C24)^DCF!D17+DCF!E16/(1+$C24)^DCF!E17+DCF!F16/(1+$C24)^DCF!F17+DCF!G16/(1+$C24)^DCF!G17+DCF!G10*(1+DCF!C24)*(1-G$20)/($C24-DCF!C24)/(1+$C24)^DCF!G17+DCF!C31-DCF!C32-DCF!C33)/DCF!C35)</f>
        <v>29.031617411812817</v>
      </c>
      <c r="H24" s="33">
        <f>IF($C24&lt;=DCF!C24,"NM",(DCF!C16/(1+$C24)^DCF!C17+DCF!D16/(1+$C24)^DCF!D17+DCF!E16/(1+$C24)^DCF!E17+DCF!F16/(1+$C24)^DCF!F17+DCF!G16/(1+$C24)^DCF!G17+DCF!G10*(1+DCF!C24)*(1-H$20)/($C24-DCF!C24)/(1+$C24)^DCF!G17+DCF!C31-DCF!C32-DCF!C33)/DCF!C35)</f>
        <v>28.445291518141598</v>
      </c>
      <c r="I24" s="33">
        <f>IF($C24&lt;=DCF!C24,"NM",(DCF!C16/(1+$C24)^DCF!C17+DCF!D16/(1+$C24)^DCF!D17+DCF!E16/(1+$C24)^DCF!E17+DCF!F16/(1+$C24)^DCF!F17+DCF!G16/(1+$C24)^DCF!G17+DCF!G10*(1+DCF!C24)*(1-I$20)/($C24-DCF!C24)/(1+$C24)^DCF!G17+DCF!C31-DCF!C32-DCF!C33)/DCF!C35)</f>
        <v>27.858965624470382</v>
      </c>
      <c r="J24" s="33">
        <f>IF($C24&lt;=DCF!C24,"NM",(DCF!C16/(1+$C24)^DCF!C17+DCF!D16/(1+$C24)^DCF!D17+DCF!E16/(1+$C24)^DCF!E17+DCF!F16/(1+$C24)^DCF!F17+DCF!G16/(1+$C24)^DCF!G17+DCF!G10*(1+DCF!C24)*(1-J$20)/($C24-DCF!C24)/(1+$C24)^DCF!G17+DCF!C31-DCF!C32-DCF!C33)/DCF!C35)</f>
        <v>27.272639730799156</v>
      </c>
      <c r="K24" s="1"/>
    </row>
    <row r="25" spans="1:11" x14ac:dyDescent="0.4">
      <c r="A25" s="1"/>
      <c r="B25" s="1"/>
      <c r="C25" s="18">
        <v>0.13</v>
      </c>
      <c r="D25" s="33">
        <f>IF($C25&lt;=DCF!C24,"NM",(DCF!C16/(1+$C25)^DCF!C17+DCF!D16/(1+$C25)^DCF!D17+DCF!E16/(1+$C25)^DCF!E17+DCF!F16/(1+$C25)^DCF!F17+DCF!G16/(1+$C25)^DCF!G17+DCF!G10*(1+DCF!C24)*(1-D$20)/($C25-DCF!C24)/(1+$C25)^DCF!G17+DCF!C31-DCF!C32-DCF!C33)/DCF!C35)</f>
        <v>29.371222210071632</v>
      </c>
      <c r="E25" s="33">
        <f>IF($C25&lt;=DCF!C24,"NM",(DCF!C16/(1+$C25)^DCF!C17+DCF!D16/(1+$C25)^DCF!D17+DCF!E16/(1+$C25)^DCF!E17+DCF!F16/(1+$C25)^DCF!F17+DCF!G16/(1+$C25)^DCF!G17+DCF!G10*(1+DCF!C24)*(1-E$20)/($C25-DCF!C24)/(1+$C25)^DCF!G17+DCF!C31-DCF!C32-DCF!C33)/DCF!C35)</f>
        <v>28.823074199507516</v>
      </c>
      <c r="F25" s="33">
        <f>IF($C25&lt;=DCF!C24,"NM",(DCF!C16/(1+$C25)^DCF!C17+DCF!D16/(1+$C25)^DCF!D17+DCF!E16/(1+$C25)^DCF!E17+DCF!F16/(1+$C25)^DCF!F17+DCF!G16/(1+$C25)^DCF!G17+DCF!G10*(1+DCF!C24)*(1-F$20)/($C25-DCF!C24)/(1+$C25)^DCF!G17+DCF!C31-DCF!C32-DCF!C33)/DCF!C35)</f>
        <v>28.274926188943397</v>
      </c>
      <c r="G25" s="33">
        <f>IF($C25&lt;=DCF!C24,"NM",(DCF!C16/(1+$C25)^DCF!C17+DCF!D16/(1+$C25)^DCF!D17+DCF!E16/(1+$C25)^DCF!E17+DCF!F16/(1+$C25)^DCF!F17+DCF!G16/(1+$C25)^DCF!G17+DCF!G10*(1+DCF!C24)*(1-G$20)/($C25-DCF!C24)/(1+$C25)^DCF!G17+DCF!C31-DCF!C32-DCF!C33)/DCF!C35)</f>
        <v>27.726778178379281</v>
      </c>
      <c r="H25" s="33">
        <f>IF($C25&lt;=DCF!C24,"NM",(DCF!C16/(1+$C25)^DCF!C17+DCF!D16/(1+$C25)^DCF!D17+DCF!E16/(1+$C25)^DCF!E17+DCF!F16/(1+$C25)^DCF!F17+DCF!G16/(1+$C25)^DCF!G17+DCF!G10*(1+DCF!C24)*(1-H$20)/($C25-DCF!C24)/(1+$C25)^DCF!G17+DCF!C31-DCF!C32-DCF!C33)/DCF!C35)</f>
        <v>27.178630167815168</v>
      </c>
      <c r="I25" s="33">
        <f>IF($C25&lt;=DCF!C24,"NM",(DCF!C16/(1+$C25)^DCF!C17+DCF!D16/(1+$C25)^DCF!D17+DCF!E16/(1+$C25)^DCF!E17+DCF!F16/(1+$C25)^DCF!F17+DCF!G16/(1+$C25)^DCF!G17+DCF!G10*(1+DCF!C24)*(1-I$20)/($C25-DCF!C24)/(1+$C25)^DCF!G17+DCF!C31-DCF!C32-DCF!C33)/DCF!C35)</f>
        <v>26.630482157251048</v>
      </c>
      <c r="J25" s="33">
        <f>IF($C25&lt;=DCF!C24,"NM",(DCF!C16/(1+$C25)^DCF!C17+DCF!D16/(1+$C25)^DCF!D17+DCF!E16/(1+$C25)^DCF!E17+DCF!F16/(1+$C25)^DCF!F17+DCF!G16/(1+$C25)^DCF!G17+DCF!G10*(1+DCF!C24)*(1-J$20)/($C25-DCF!C24)/(1+$C25)^DCF!G17+DCF!C31-DCF!C32-DCF!C33)/DCF!C35)</f>
        <v>26.082334146686932</v>
      </c>
      <c r="K25" s="1"/>
    </row>
    <row r="26" spans="1:11" x14ac:dyDescent="0.4">
      <c r="A26" s="1"/>
      <c r="B26" s="1"/>
      <c r="C26" s="18">
        <v>0.13500000000000001</v>
      </c>
      <c r="D26" s="33">
        <f>IF($C26&lt;=DCF!C24,"NM",(DCF!C16/(1+$C26)^DCF!C17+DCF!D16/(1+$C26)^DCF!D17+DCF!E16/(1+$C26)^DCF!E17+DCF!F16/(1+$C26)^DCF!F17+DCF!G16/(1+$C26)^DCF!G17+DCF!G10*(1+DCF!C24)*(1-D$20)/($C26-DCF!C24)/(1+$C26)^DCF!G17+DCF!C31-DCF!C32-DCF!C33)/DCF!C35)</f>
        <v>28.08586742307984</v>
      </c>
      <c r="E26" s="33">
        <f>IF($C26&lt;=DCF!C24,"NM",(DCF!C16/(1+$C26)^DCF!C17+DCF!D16/(1+$C26)^DCF!D17+DCF!E16/(1+$C26)^DCF!E17+DCF!F16/(1+$C26)^DCF!F17+DCF!G16/(1+$C26)^DCF!G17+DCF!G10*(1+DCF!C24)*(1-E$20)/($C26-DCF!C24)/(1+$C26)^DCF!G17+DCF!C31-DCF!C32-DCF!C33)/DCF!C35)</f>
        <v>27.572204672815403</v>
      </c>
      <c r="F26" s="33">
        <f>IF($C26&lt;=DCF!C24,"NM",(DCF!C16/(1+$C26)^DCF!C17+DCF!D16/(1+$C26)^DCF!D17+DCF!E16/(1+$C26)^DCF!E17+DCF!F16/(1+$C26)^DCF!F17+DCF!G16/(1+$C26)^DCF!G17+DCF!G10*(1+DCF!C24)*(1-F$20)/($C26-DCF!C24)/(1+$C26)^DCF!G17+DCF!C31-DCF!C32-DCF!C33)/DCF!C35)</f>
        <v>27.058541922550965</v>
      </c>
      <c r="G26" s="33">
        <f>IF($C26&lt;=DCF!C24,"NM",(DCF!C16/(1+$C26)^DCF!C17+DCF!D16/(1+$C26)^DCF!D17+DCF!E16/(1+$C26)^DCF!E17+DCF!F16/(1+$C26)^DCF!F17+DCF!G16/(1+$C26)^DCF!G17+DCF!G10*(1+DCF!C24)*(1-G$20)/($C26-DCF!C24)/(1+$C26)^DCF!G17+DCF!C31-DCF!C32-DCF!C33)/DCF!C35)</f>
        <v>26.544879172286524</v>
      </c>
      <c r="H26" s="33">
        <f>IF($C26&lt;=DCF!C24,"NM",(DCF!C16/(1+$C26)^DCF!C17+DCF!D16/(1+$C26)^DCF!D17+DCF!E16/(1+$C26)^DCF!E17+DCF!F16/(1+$C26)^DCF!F17+DCF!G16/(1+$C26)^DCF!G17+DCF!G10*(1+DCF!C24)*(1-H$20)/($C26-DCF!C24)/(1+$C26)^DCF!G17+DCF!C31-DCF!C32-DCF!C33)/DCF!C35)</f>
        <v>26.031216422022087</v>
      </c>
      <c r="I26" s="33">
        <f>IF($C26&lt;=DCF!C24,"NM",(DCF!C16/(1+$C26)^DCF!C17+DCF!D16/(1+$C26)^DCF!D17+DCF!E16/(1+$C26)^DCF!E17+DCF!F16/(1+$C26)^DCF!F17+DCF!G16/(1+$C26)^DCF!G17+DCF!G10*(1+DCF!C24)*(1-I$20)/($C26-DCF!C24)/(1+$C26)^DCF!G17+DCF!C31-DCF!C32-DCF!C33)/DCF!C35)</f>
        <v>25.517553671757653</v>
      </c>
      <c r="J26" s="33">
        <f>IF($C26&lt;=DCF!C24,"NM",(DCF!C16/(1+$C26)^DCF!C17+DCF!D16/(1+$C26)^DCF!D17+DCF!E16/(1+$C26)^DCF!E17+DCF!F16/(1+$C26)^DCF!F17+DCF!G16/(1+$C26)^DCF!G17+DCF!G10*(1+DCF!C24)*(1-J$20)/($C26-DCF!C24)/(1+$C26)^DCF!G17+DCF!C31-DCF!C32-DCF!C33)/DCF!C35)</f>
        <v>25.003890921493216</v>
      </c>
      <c r="K26" s="1"/>
    </row>
    <row r="27" spans="1:11" x14ac:dyDescent="0.4">
      <c r="A27" s="1"/>
      <c r="B27" s="1"/>
      <c r="C27" s="18">
        <v>0.14000000000000001</v>
      </c>
      <c r="D27" s="33">
        <f>IF($C27&lt;=DCF!C24,"NM",(DCF!C16/(1+$C27)^DCF!C17+DCF!D16/(1+$C27)^DCF!D17+DCF!E16/(1+$C27)^DCF!E17+DCF!F16/(1+$C27)^DCF!F17+DCF!G16/(1+$C27)^DCF!G17+DCF!G10*(1+DCF!C24)*(1-D$20)/($C27-DCF!C24)/(1+$C27)^DCF!G17+DCF!C31-DCF!C32-DCF!C33)/DCF!C35)</f>
        <v>26.916956574463814</v>
      </c>
      <c r="E27" s="33">
        <f>IF($C27&lt;=DCF!C24,"NM",(DCF!C16/(1+$C27)^DCF!C17+DCF!D16/(1+$C27)^DCF!D17+DCF!E16/(1+$C27)^DCF!E17+DCF!F16/(1+$C27)^DCF!F17+DCF!G16/(1+$C27)^DCF!G17+DCF!G10*(1+DCF!C24)*(1-E$20)/($C27-DCF!C24)/(1+$C27)^DCF!G17+DCF!C31-DCF!C32-DCF!C33)/DCF!C35)</f>
        <v>26.434573822152124</v>
      </c>
      <c r="F27" s="33">
        <f>IF($C27&lt;=DCF!C24,"NM",(DCF!C16/(1+$C27)^DCF!C17+DCF!D16/(1+$C27)^DCF!D17+DCF!E16/(1+$C27)^DCF!E17+DCF!F16/(1+$C27)^DCF!F17+DCF!G16/(1+$C27)^DCF!G17+DCF!G10*(1+DCF!C24)*(1-F$20)/($C27-DCF!C24)/(1+$C27)^DCF!G17+DCF!C31-DCF!C32-DCF!C33)/DCF!C35)</f>
        <v>25.952191069840438</v>
      </c>
      <c r="G27" s="33">
        <f>IF($C27&lt;=DCF!C24,"NM",(DCF!C16/(1+$C27)^DCF!C17+DCF!D16/(1+$C27)^DCF!D17+DCF!E16/(1+$C27)^DCF!E17+DCF!F16/(1+$C27)^DCF!F17+DCF!G16/(1+$C27)^DCF!G17+DCF!G10*(1+DCF!C24)*(1-G$20)/($C27-DCF!C24)/(1+$C27)^DCF!G17+DCF!C31-DCF!C32-DCF!C33)/DCF!C35)</f>
        <v>25.469808317528752</v>
      </c>
      <c r="H27" s="33">
        <f>IF($C27&lt;=DCF!C24,"NM",(DCF!C16/(1+$C27)^DCF!C17+DCF!D16/(1+$C27)^DCF!D17+DCF!E16/(1+$C27)^DCF!E17+DCF!F16/(1+$C27)^DCF!F17+DCF!G16/(1+$C27)^DCF!G17+DCF!G10*(1+DCF!C24)*(1-H$20)/($C27-DCF!C24)/(1+$C27)^DCF!G17+DCF!C31-DCF!C32-DCF!C33)/DCF!C35)</f>
        <v>24.987425565217062</v>
      </c>
      <c r="I27" s="33">
        <f>IF($C27&lt;=DCF!C24,"NM",(DCF!C16/(1+$C27)^DCF!C17+DCF!D16/(1+$C27)^DCF!D17+DCF!E16/(1+$C27)^DCF!E17+DCF!F16/(1+$C27)^DCF!F17+DCF!G16/(1+$C27)^DCF!G17+DCF!G10*(1+DCF!C24)*(1-I$20)/($C27-DCF!C24)/(1+$C27)^DCF!G17+DCF!C31-DCF!C32-DCF!C33)/DCF!C35)</f>
        <v>24.505042812905376</v>
      </c>
      <c r="J27" s="33">
        <f>IF($C27&lt;=DCF!C24,"NM",(DCF!C16/(1+$C27)^DCF!C17+DCF!D16/(1+$C27)^DCF!D17+DCF!E16/(1+$C27)^DCF!E17+DCF!F16/(1+$C27)^DCF!F17+DCF!G16/(1+$C27)^DCF!G17+DCF!G10*(1+DCF!C24)*(1-J$20)/($C27-DCF!C24)/(1+$C27)^DCF!G17+DCF!C31-DCF!C32-DCF!C33)/DCF!C35)</f>
        <v>24.022660060593687</v>
      </c>
      <c r="K27" s="1"/>
    </row>
    <row r="28" spans="1:11" x14ac:dyDescent="0.4">
      <c r="A28" s="1"/>
      <c r="B28" s="1"/>
      <c r="C28" s="18">
        <v>0.14499999999999999</v>
      </c>
      <c r="D28" s="33">
        <f>IF($C28&lt;=DCF!C24,"NM",(DCF!C16/(1+$C28)^DCF!C17+DCF!D16/(1+$C28)^DCF!D17+DCF!E16/(1+$C28)^DCF!E17+DCF!F16/(1+$C28)^DCF!F17+DCF!G16/(1+$C28)^DCF!G17+DCF!G10*(1+DCF!C24)*(1-D$20)/($C28-DCF!C24)/(1+$C28)^DCF!G17+DCF!C31-DCF!C32-DCF!C33)/DCF!C35)</f>
        <v>25.849846706475553</v>
      </c>
      <c r="E28" s="33">
        <f>IF($C28&lt;=DCF!C24,"NM",(DCF!C16/(1+$C28)^DCF!C17+DCF!D16/(1+$C28)^DCF!D17+DCF!E16/(1+$C28)^DCF!E17+DCF!F16/(1+$C28)^DCF!F17+DCF!G16/(1+$C28)^DCF!G17+DCF!G10*(1+DCF!C24)*(1-E$20)/($C28-DCF!C24)/(1+$C28)^DCF!G17+DCF!C31-DCF!C32-DCF!C33)/DCF!C35)</f>
        <v>25.395944652967945</v>
      </c>
      <c r="F28" s="33">
        <f>IF($C28&lt;=DCF!C24,"NM",(DCF!C16/(1+$C28)^DCF!C17+DCF!D16/(1+$C28)^DCF!D17+DCF!E16/(1+$C28)^DCF!E17+DCF!F16/(1+$C28)^DCF!F17+DCF!G16/(1+$C28)^DCF!G17+DCF!G10*(1+DCF!C24)*(1-F$20)/($C28-DCF!C24)/(1+$C28)^DCF!G17+DCF!C31-DCF!C32-DCF!C33)/DCF!C35)</f>
        <v>24.942042599460336</v>
      </c>
      <c r="G28" s="33">
        <f>IF($C28&lt;=DCF!C24,"NM",(DCF!C16/(1+$C28)^DCF!C17+DCF!D16/(1+$C28)^DCF!D17+DCF!E16/(1+$C28)^DCF!E17+DCF!F16/(1+$C28)^DCF!F17+DCF!G16/(1+$C28)^DCF!G17+DCF!G10*(1+DCF!C24)*(1-G$20)/($C28-DCF!C24)/(1+$C28)^DCF!G17+DCF!C31-DCF!C32-DCF!C33)/DCF!C35)</f>
        <v>24.488140545952728</v>
      </c>
      <c r="H28" s="33">
        <f>IF($C28&lt;=DCF!C24,"NM",(DCF!C16/(1+$C28)^DCF!C17+DCF!D16/(1+$C28)^DCF!D17+DCF!E16/(1+$C28)^DCF!E17+DCF!F16/(1+$C28)^DCF!F17+DCF!G16/(1+$C28)^DCF!G17+DCF!G10*(1+DCF!C24)*(1-H$20)/($C28-DCF!C24)/(1+$C28)^DCF!G17+DCF!C31-DCF!C32-DCF!C33)/DCF!C35)</f>
        <v>24.034238492445123</v>
      </c>
      <c r="I28" s="33">
        <f>IF($C28&lt;=DCF!C24,"NM",(DCF!C16/(1+$C28)^DCF!C17+DCF!D16/(1+$C28)^DCF!D17+DCF!E16/(1+$C28)^DCF!E17+DCF!F16/(1+$C28)^DCF!F17+DCF!G16/(1+$C28)^DCF!G17+DCF!G10*(1+DCF!C24)*(1-I$20)/($C28-DCF!C24)/(1+$C28)^DCF!G17+DCF!C31-DCF!C32-DCF!C33)/DCF!C35)</f>
        <v>23.580336438937515</v>
      </c>
      <c r="J28" s="33">
        <f>IF($C28&lt;=DCF!C24,"NM",(DCF!C16/(1+$C28)^DCF!C17+DCF!D16/(1+$C28)^DCF!D17+DCF!E16/(1+$C28)^DCF!E17+DCF!F16/(1+$C28)^DCF!F17+DCF!G16/(1+$C28)^DCF!G17+DCF!G10*(1+DCF!C24)*(1-J$20)/($C28-DCF!C24)/(1+$C28)^DCF!G17+DCF!C31-DCF!C32-DCF!C33)/DCF!C35)</f>
        <v>23.126434385429903</v>
      </c>
      <c r="K28" s="1"/>
    </row>
    <row r="29" spans="1:11" x14ac:dyDescent="0.4">
      <c r="A29" s="1"/>
      <c r="B29" s="1"/>
      <c r="C29" s="18">
        <v>0.15</v>
      </c>
      <c r="D29" s="33">
        <f>IF($C29&lt;=DCF!C24,"NM",(DCF!C16/(1+$C29)^DCF!C17+DCF!D16/(1+$C29)^DCF!D17+DCF!E16/(1+$C29)^DCF!E17+DCF!F16/(1+$C29)^DCF!F17+DCF!G16/(1+$C29)^DCF!G17+DCF!G10*(1+DCF!C24)*(1-D$20)/($C29-DCF!C24)/(1+$C29)^DCF!G17+DCF!C31-DCF!C32-DCF!C33)/DCF!C35)</f>
        <v>24.872239761255248</v>
      </c>
      <c r="E29" s="33">
        <f>IF($C29&lt;=DCF!C24,"NM",(DCF!C16/(1+$C29)^DCF!C17+DCF!D16/(1+$C29)^DCF!D17+DCF!E16/(1+$C29)^DCF!E17+DCF!F16/(1+$C29)^DCF!F17+DCF!G16/(1+$C29)^DCF!G17+DCF!G10*(1+DCF!C24)*(1-E$20)/($C29-DCF!C24)/(1+$C29)^DCF!G17+DCF!C31-DCF!C32-DCF!C33)/DCF!C35)</f>
        <v>24.444359958573816</v>
      </c>
      <c r="F29" s="33">
        <f>IF($C29&lt;=DCF!C24,"NM",(DCF!C16/(1+$C29)^DCF!C17+DCF!D16/(1+$C29)^DCF!D17+DCF!E16/(1+$C29)^DCF!E17+DCF!F16/(1+$C29)^DCF!F17+DCF!G16/(1+$C29)^DCF!G17+DCF!G10*(1+DCF!C24)*(1-F$20)/($C29-DCF!C24)/(1+$C29)^DCF!G17+DCF!C31-DCF!C32-DCF!C33)/DCF!C35)</f>
        <v>24.016480155892381</v>
      </c>
      <c r="G29" s="33">
        <f>IF($C29&lt;=DCF!C24,"NM",(DCF!C16/(1+$C29)^DCF!C17+DCF!D16/(1+$C29)^DCF!D17+DCF!E16/(1+$C29)^DCF!E17+DCF!F16/(1+$C29)^DCF!F17+DCF!G16/(1+$C29)^DCF!G17+DCF!G10*(1+DCF!C24)*(1-G$20)/($C29-DCF!C24)/(1+$C29)^DCF!G17+DCF!C31-DCF!C32-DCF!C33)/DCF!C35)</f>
        <v>23.58860035321095</v>
      </c>
      <c r="H29" s="33">
        <f>IF($C29&lt;=DCF!C24,"NM",(DCF!C16/(1+$C29)^DCF!C17+DCF!D16/(1+$C29)^DCF!D17+DCF!E16/(1+$C29)^DCF!E17+DCF!F16/(1+$C29)^DCF!F17+DCF!G16/(1+$C29)^DCF!G17+DCF!G10*(1+DCF!C24)*(1-H$20)/($C29-DCF!C24)/(1+$C29)^DCF!G17+DCF!C31-DCF!C32-DCF!C33)/DCF!C35)</f>
        <v>23.160720550529522</v>
      </c>
      <c r="I29" s="33">
        <f>IF($C29&lt;=DCF!C24,"NM",(DCF!C16/(1+$C29)^DCF!C17+DCF!D16/(1+$C29)^DCF!D17+DCF!E16/(1+$C29)^DCF!E17+DCF!F16/(1+$C29)^DCF!F17+DCF!G16/(1+$C29)^DCF!G17+DCF!G10*(1+DCF!C24)*(1-I$20)/($C29-DCF!C24)/(1+$C29)^DCF!G17+DCF!C31-DCF!C32-DCF!C33)/DCF!C35)</f>
        <v>22.732840747848091</v>
      </c>
      <c r="J29" s="33">
        <f>IF($C29&lt;=DCF!C24,"NM",(DCF!C16/(1+$C29)^DCF!C17+DCF!D16/(1+$C29)^DCF!D17+DCF!E16/(1+$C29)^DCF!E17+DCF!F16/(1+$C29)^DCF!F17+DCF!G16/(1+$C29)^DCF!G17+DCF!G10*(1+DCF!C24)*(1-J$20)/($C29-DCF!C24)/(1+$C29)^DCF!G17+DCF!C31-DCF!C32-DCF!C33)/DCF!C35)</f>
        <v>22.304960945166659</v>
      </c>
      <c r="K29" s="1"/>
    </row>
    <row r="30" spans="1:1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4">
      <c r="A32" s="1"/>
      <c r="B32" s="4" t="s">
        <v>316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4">
      <c r="A33" s="1"/>
      <c r="B33" s="1" t="s">
        <v>317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">
      <c r="A34" s="1"/>
      <c r="B34" s="1"/>
      <c r="C34" s="1"/>
      <c r="D34" s="24">
        <v>0.8</v>
      </c>
      <c r="E34" s="24">
        <v>0.9</v>
      </c>
      <c r="F34" s="24">
        <v>1</v>
      </c>
      <c r="G34" s="24">
        <v>1.1000000000000001</v>
      </c>
      <c r="H34" s="24">
        <v>1.2</v>
      </c>
      <c r="I34" s="1"/>
      <c r="J34" s="1"/>
      <c r="K34" s="1"/>
    </row>
    <row r="35" spans="1:11" x14ac:dyDescent="0.4">
      <c r="A35" s="1"/>
      <c r="B35" s="1"/>
      <c r="C35" s="18">
        <v>-0.02</v>
      </c>
      <c r="D35" s="33">
        <f>IF(DCF!C23&lt;=DCF!C24,"NM",(DCF!C16/(1+DCF!C23)^DCF!C17+DCF!D16/(1+DCF!C23)^DCF!D17+DCF!E16/(1+DCF!C23)^DCF!E17+DCF!F16/(1+DCF!C23)^DCF!F17+(DCF!G16+(DCF!G7*D$34*(DCF!G8/DCF!G7+$C35)*(1-DCF!G9))-DCF!G10)/(1+DCF!C23)^DCF!G17+(DCF!G7*D$34*(DCF!G8/DCF!G7+$C35)*(1-DCF!G9))*(1+DCF!C24)*(1-DCF!C25)/(DCF!C23-DCF!C24)/(1+DCF!C23)^DCF!G17+DCF!C31-DCF!C32-DCF!C33)/DCF!C35)</f>
        <v>19.897056213384257</v>
      </c>
      <c r="E35" s="33">
        <f>IF(DCF!C23&lt;=DCF!C24,"NM",(DCF!C16/(1+DCF!C23)^DCF!C17+DCF!D16/(1+DCF!C23)^DCF!D17+DCF!E16/(1+DCF!C23)^DCF!E17+DCF!F16/(1+DCF!C23)^DCF!F17+(DCF!G16+(DCF!G7*E$34*(DCF!G8/DCF!G7+$C35)*(1-DCF!G9))-DCF!G10)/(1+DCF!C23)^DCF!G17+(DCF!G7*E$34*(DCF!G8/DCF!G7+$C35)*(1-DCF!G9))*(1+DCF!C24)*(1-DCF!C25)/(DCF!C23-DCF!C24)/(1+DCF!C23)^DCF!G17+DCF!C31-DCF!C32-DCF!C33)/DCF!C35)</f>
        <v>21.460207944415394</v>
      </c>
      <c r="F35" s="33">
        <f>IF(DCF!C23&lt;=DCF!C24,"NM",(DCF!C16/(1+DCF!C23)^DCF!C17+DCF!D16/(1+DCF!C23)^DCF!D17+DCF!E16/(1+DCF!C23)^DCF!E17+DCF!F16/(1+DCF!C23)^DCF!F17+(DCF!G16+(DCF!G7*F$34*(DCF!G8/DCF!G7+$C35)*(1-DCF!G9))-DCF!G10)/(1+DCF!C23)^DCF!G17+(DCF!G7*F$34*(DCF!G8/DCF!G7+$C35)*(1-DCF!G9))*(1+DCF!C24)*(1-DCF!C25)/(DCF!C23-DCF!C24)/(1+DCF!C23)^DCF!G17+DCF!C31-DCF!C32-DCF!C33)/DCF!C35)</f>
        <v>23.023359675446528</v>
      </c>
      <c r="G35" s="33">
        <f>IF(DCF!C23&lt;=DCF!C24,"NM",(DCF!C16/(1+DCF!C23)^DCF!C17+DCF!D16/(1+DCF!C23)^DCF!D17+DCF!E16/(1+DCF!C23)^DCF!E17+DCF!F16/(1+DCF!C23)^DCF!F17+(DCF!G16+(DCF!G7*G$34*(DCF!G8/DCF!G7+$C35)*(1-DCF!G9))-DCF!G10)/(1+DCF!C23)^DCF!G17+(DCF!G7*G$34*(DCF!G8/DCF!G7+$C35)*(1-DCF!G9))*(1+DCF!C24)*(1-DCF!C25)/(DCF!C23-DCF!C24)/(1+DCF!C23)^DCF!G17+DCF!C31-DCF!C32-DCF!C33)/DCF!C35)</f>
        <v>24.586511406477662</v>
      </c>
      <c r="H35" s="33">
        <f>IF(DCF!C23&lt;=DCF!C24,"NM",(DCF!C16/(1+DCF!C23)^DCF!C17+DCF!D16/(1+DCF!C23)^DCF!D17+DCF!E16/(1+DCF!C23)^DCF!E17+DCF!F16/(1+DCF!C23)^DCF!F17+(DCF!G16+(DCF!G7*H$34*(DCF!G8/DCF!G7+$C35)*(1-DCF!G9))-DCF!G10)/(1+DCF!C23)^DCF!G17+(DCF!G7*H$34*(DCF!G8/DCF!G7+$C35)*(1-DCF!G9))*(1+DCF!C24)*(1-DCF!C25)/(DCF!C23-DCF!C24)/(1+DCF!C23)^DCF!G17+DCF!C31-DCF!C32-DCF!C33)/DCF!C35)</f>
        <v>26.149663137508792</v>
      </c>
      <c r="I35" s="1"/>
      <c r="J35" s="1"/>
      <c r="K35" s="1"/>
    </row>
    <row r="36" spans="1:11" x14ac:dyDescent="0.4">
      <c r="A36" s="1"/>
      <c r="B36" s="1"/>
      <c r="C36" s="18">
        <v>-0.01</v>
      </c>
      <c r="D36" s="33">
        <f>IF(DCF!C23&lt;=DCF!C24,"NM",(DCF!C16/(1+DCF!C23)^DCF!C17+DCF!D16/(1+DCF!C23)^DCF!D17+DCF!E16/(1+DCF!C23)^DCF!E17+DCF!F16/(1+DCF!C23)^DCF!F17+(DCF!G16+(DCF!G7*D$34*(DCF!G8/DCF!G7+$C36)*(1-DCF!G9))-DCF!G10)/(1+DCF!C23)^DCF!G17+(DCF!G7*D$34*(DCF!G8/DCF!G7+$C36)*(1-DCF!G9))*(1+DCF!C24)*(1-DCF!C25)/(DCF!C23-DCF!C24)/(1+DCF!C23)^DCF!G17+DCF!C31-DCF!C32-DCF!C33)/DCF!C35)</f>
        <v>21.56225651793962</v>
      </c>
      <c r="E36" s="33">
        <f>IF(DCF!C23&lt;=DCF!C24,"NM",(DCF!C16/(1+DCF!C23)^DCF!C17+DCF!D16/(1+DCF!C23)^DCF!D17+DCF!E16/(1+DCF!C23)^DCF!E17+DCF!F16/(1+DCF!C23)^DCF!F17+(DCF!G16+(DCF!G7*E$34*(DCF!G8/DCF!G7+$C36)*(1-DCF!G9))-DCF!G10)/(1+DCF!C23)^DCF!G17+(DCF!G7*E$34*(DCF!G8/DCF!G7+$C36)*(1-DCF!G9))*(1+DCF!C24)*(1-DCF!C25)/(DCF!C23-DCF!C24)/(1+DCF!C23)^DCF!G17+DCF!C31-DCF!C32-DCF!C33)/DCF!C35)</f>
        <v>23.333558287040169</v>
      </c>
      <c r="F36" s="33">
        <f>IF(DCF!C23&lt;=DCF!C24,"NM",(DCF!C16/(1+DCF!C23)^DCF!C17+DCF!D16/(1+DCF!C23)^DCF!D17+DCF!E16/(1+DCF!C23)^DCF!E17+DCF!F16/(1+DCF!C23)^DCF!F17+(DCF!G16+(DCF!G7*F$34*(DCF!G8/DCF!G7+$C36)*(1-DCF!G9))-DCF!G10)/(1+DCF!C23)^DCF!G17+(DCF!G7*F$34*(DCF!G8/DCF!G7+$C36)*(1-DCF!G9))*(1+DCF!C24)*(1-DCF!C25)/(DCF!C23-DCF!C24)/(1+DCF!C23)^DCF!G17+DCF!C31-DCF!C32-DCF!C33)/DCF!C35)</f>
        <v>25.104860056140726</v>
      </c>
      <c r="G36" s="33">
        <f>IF(DCF!C23&lt;=DCF!C24,"NM",(DCF!C16/(1+DCF!C23)^DCF!C17+DCF!D16/(1+DCF!C23)^DCF!D17+DCF!E16/(1+DCF!C23)^DCF!E17+DCF!F16/(1+DCF!C23)^DCF!F17+(DCF!G16+(DCF!G7*G$34*(DCF!G8/DCF!G7+$C36)*(1-DCF!G9))-DCF!G10)/(1+DCF!C23)^DCF!G17+(DCF!G7*G$34*(DCF!G8/DCF!G7+$C36)*(1-DCF!G9))*(1+DCF!C24)*(1-DCF!C25)/(DCF!C23-DCF!C24)/(1+DCF!C23)^DCF!G17+DCF!C31-DCF!C32-DCF!C33)/DCF!C35)</f>
        <v>26.876161825241283</v>
      </c>
      <c r="H36" s="33">
        <f>IF(DCF!C23&lt;=DCF!C24,"NM",(DCF!C16/(1+DCF!C23)^DCF!C17+DCF!D16/(1+DCF!C23)^DCF!D17+DCF!E16/(1+DCF!C23)^DCF!E17+DCF!F16/(1+DCF!C23)^DCF!F17+(DCF!G16+(DCF!G7*H$34*(DCF!G8/DCF!G7+$C36)*(1-DCF!G9))-DCF!G10)/(1+DCF!C23)^DCF!G17+(DCF!G7*H$34*(DCF!G8/DCF!G7+$C36)*(1-DCF!G9))*(1+DCF!C24)*(1-DCF!C25)/(DCF!C23-DCF!C24)/(1+DCF!C23)^DCF!G17+DCF!C31-DCF!C32-DCF!C33)/DCF!C35)</f>
        <v>28.64746359434184</v>
      </c>
      <c r="I36" s="1"/>
      <c r="J36" s="1"/>
      <c r="K36" s="1"/>
    </row>
    <row r="37" spans="1:11" x14ac:dyDescent="0.4">
      <c r="A37" s="1"/>
      <c r="B37" s="1"/>
      <c r="C37" s="18">
        <v>0</v>
      </c>
      <c r="D37" s="33">
        <f>IF(DCF!C23&lt;=DCF!C24,"NM",(DCF!C16/(1+DCF!C23)^DCF!C17+DCF!D16/(1+DCF!C23)^DCF!D17+DCF!E16/(1+DCF!C23)^DCF!E17+DCF!F16/(1+DCF!C23)^DCF!F17+(DCF!G16+(DCF!G7*D$34*(DCF!G8/DCF!G7+$C37)*(1-DCF!G9))-DCF!G10)/(1+DCF!C23)^DCF!G17+(DCF!G7*D$34*(DCF!G8/DCF!G7+$C37)*(1-DCF!G9))*(1+DCF!C24)*(1-DCF!C25)/(DCF!C23-DCF!C24)/(1+DCF!C23)^DCF!G17+DCF!C31-DCF!C32-DCF!C33)/DCF!C35)</f>
        <v>23.227456822494979</v>
      </c>
      <c r="E37" s="33">
        <f>IF(DCF!C23&lt;=DCF!C24,"NM",(DCF!C16/(1+DCF!C23)^DCF!C17+DCF!D16/(1+DCF!C23)^DCF!D17+DCF!E16/(1+DCF!C23)^DCF!E17+DCF!F16/(1+DCF!C23)^DCF!F17+(DCF!G16+(DCF!G7*E$34*(DCF!G8/DCF!G7+$C37)*(1-DCF!G9))-DCF!G10)/(1+DCF!C23)^DCF!G17+(DCF!G7*E$34*(DCF!G8/DCF!G7+$C37)*(1-DCF!G9))*(1+DCF!C24)*(1-DCF!C25)/(DCF!C23-DCF!C24)/(1+DCF!C23)^DCF!G17+DCF!C31-DCF!C32-DCF!C33)/DCF!C35)</f>
        <v>25.206908629664948</v>
      </c>
      <c r="F37" s="33">
        <f>IF(DCF!C23&lt;=DCF!C24,"NM",(DCF!C16/(1+DCF!C23)^DCF!C17+DCF!D16/(1+DCF!C23)^DCF!D17+DCF!E16/(1+DCF!C23)^DCF!E17+DCF!F16/(1+DCF!C23)^DCF!F17+(DCF!G16+(DCF!G7*F$34*(DCF!G8/DCF!G7+$C37)*(1-DCF!G9))-DCF!G10)/(1+DCF!C23)^DCF!G17+(DCF!G7*F$34*(DCF!G8/DCF!G7+$C37)*(1-DCF!G9))*(1+DCF!C24)*(1-DCF!C25)/(DCF!C23-DCF!C24)/(1+DCF!C23)^DCF!G17+DCF!C31-DCF!C32-DCF!C33)/DCF!C35)</f>
        <v>27.186360436834924</v>
      </c>
      <c r="G37" s="33">
        <f>IF(DCF!C23&lt;=DCF!C24,"NM",(DCF!C16/(1+DCF!C23)^DCF!C17+DCF!D16/(1+DCF!C23)^DCF!D17+DCF!E16/(1+DCF!C23)^DCF!E17+DCF!F16/(1+DCF!C23)^DCF!F17+(DCF!G16+(DCF!G7*G$34*(DCF!G8/DCF!G7+$C37)*(1-DCF!G9))-DCF!G10)/(1+DCF!C23)^DCF!G17+(DCF!G7*G$34*(DCF!G8/DCF!G7+$C37)*(1-DCF!G9))*(1+DCF!C24)*(1-DCF!C25)/(DCF!C23-DCF!C24)/(1+DCF!C23)^DCF!G17+DCF!C31-DCF!C32-DCF!C33)/DCF!C35)</f>
        <v>29.165812244004904</v>
      </c>
      <c r="H37" s="33">
        <f>IF(DCF!C23&lt;=DCF!C24,"NM",(DCF!C16/(1+DCF!C23)^DCF!C17+DCF!D16/(1+DCF!C23)^DCF!D17+DCF!E16/(1+DCF!C23)^DCF!E17+DCF!F16/(1+DCF!C23)^DCF!F17+(DCF!G16+(DCF!G7*H$34*(DCF!G8/DCF!G7+$C37)*(1-DCF!G9))-DCF!G10)/(1+DCF!C23)^DCF!G17+(DCF!G7*H$34*(DCF!G8/DCF!G7+$C37)*(1-DCF!G9))*(1+DCF!C24)*(1-DCF!C25)/(DCF!C23-DCF!C24)/(1+DCF!C23)^DCF!G17+DCF!C31-DCF!C32-DCF!C33)/DCF!C35)</f>
        <v>31.14526405117487</v>
      </c>
      <c r="I37" s="1"/>
      <c r="J37" s="1"/>
      <c r="K37" s="1"/>
    </row>
    <row r="38" spans="1:11" x14ac:dyDescent="0.4">
      <c r="A38" s="1"/>
      <c r="B38" s="1"/>
      <c r="C38" s="18">
        <v>0.01</v>
      </c>
      <c r="D38" s="33">
        <f>IF(DCF!C23&lt;=DCF!C24,"NM",(DCF!C16/(1+DCF!C23)^DCF!C17+DCF!D16/(1+DCF!C23)^DCF!D17+DCF!E16/(1+DCF!C23)^DCF!E17+DCF!F16/(1+DCF!C23)^DCF!F17+(DCF!G16+(DCF!G7*D$34*(DCF!G8/DCF!G7+$C38)*(1-DCF!G9))-DCF!G10)/(1+DCF!C23)^DCF!G17+(DCF!G7*D$34*(DCF!G8/DCF!G7+$C38)*(1-DCF!G9))*(1+DCF!C24)*(1-DCF!C25)/(DCF!C23-DCF!C24)/(1+DCF!C23)^DCF!G17+DCF!C31-DCF!C32-DCF!C33)/DCF!C35)</f>
        <v>24.892657127050331</v>
      </c>
      <c r="E38" s="33">
        <f>IF(DCF!C23&lt;=DCF!C24,"NM",(DCF!C16/(1+DCF!C23)^DCF!C17+DCF!D16/(1+DCF!C23)^DCF!D17+DCF!E16/(1+DCF!C23)^DCF!E17+DCF!F16/(1+DCF!C23)^DCF!F17+(DCF!G16+(DCF!G7*E$34*(DCF!G8/DCF!G7+$C38)*(1-DCF!G9))-DCF!G10)/(1+DCF!C23)^DCF!G17+(DCF!G7*E$34*(DCF!G8/DCF!G7+$C38)*(1-DCF!G9))*(1+DCF!C24)*(1-DCF!C25)/(DCF!C23-DCF!C24)/(1+DCF!C23)^DCF!G17+DCF!C31-DCF!C32-DCF!C33)/DCF!C35)</f>
        <v>27.08025897228973</v>
      </c>
      <c r="F38" s="33">
        <f>IF(DCF!C23&lt;=DCF!C24,"NM",(DCF!C16/(1+DCF!C23)^DCF!C17+DCF!D16/(1+DCF!C23)^DCF!D17+DCF!E16/(1+DCF!C23)^DCF!E17+DCF!F16/(1+DCF!C23)^DCF!F17+(DCF!G16+(DCF!G7*F$34*(DCF!G8/DCF!G7+$C38)*(1-DCF!G9))-DCF!G10)/(1+DCF!C23)^DCF!G17+(DCF!G7*F$34*(DCF!G8/DCF!G7+$C38)*(1-DCF!G9))*(1+DCF!C24)*(1-DCF!C25)/(DCF!C23-DCF!C24)/(1+DCF!C23)^DCF!G17+DCF!C31-DCF!C32-DCF!C33)/DCF!C35)</f>
        <v>29.267860817529126</v>
      </c>
      <c r="G38" s="33">
        <f>IF(DCF!C23&lt;=DCF!C24,"NM",(DCF!C16/(1+DCF!C23)^DCF!C17+DCF!D16/(1+DCF!C23)^DCF!D17+DCF!E16/(1+DCF!C23)^DCF!E17+DCF!F16/(1+DCF!C23)^DCF!F17+(DCF!G16+(DCF!G7*G$34*(DCF!G8/DCF!G7+$C38)*(1-DCF!G9))-DCF!G10)/(1+DCF!C23)^DCF!G17+(DCF!G7*G$34*(DCF!G8/DCF!G7+$C38)*(1-DCF!G9))*(1+DCF!C24)*(1-DCF!C25)/(DCF!C23-DCF!C24)/(1+DCF!C23)^DCF!G17+DCF!C31-DCF!C32-DCF!C33)/DCF!C35)</f>
        <v>31.455462662768515</v>
      </c>
      <c r="H38" s="33">
        <f>IF(DCF!C23&lt;=DCF!C24,"NM",(DCF!C16/(1+DCF!C23)^DCF!C17+DCF!D16/(1+DCF!C23)^DCF!D17+DCF!E16/(1+DCF!C23)^DCF!E17+DCF!F16/(1+DCF!C23)^DCF!F17+(DCF!G16+(DCF!G7*H$34*(DCF!G8/DCF!G7+$C38)*(1-DCF!G9))-DCF!G10)/(1+DCF!C23)^DCF!G17+(DCF!G7*H$34*(DCF!G8/DCF!G7+$C38)*(1-DCF!G9))*(1+DCF!C24)*(1-DCF!C25)/(DCF!C23-DCF!C24)/(1+DCF!C23)^DCF!G17+DCF!C31-DCF!C32-DCF!C33)/DCF!C35)</f>
        <v>33.643064508007917</v>
      </c>
      <c r="I38" s="1"/>
      <c r="J38" s="1"/>
      <c r="K38" s="1"/>
    </row>
    <row r="39" spans="1:11" x14ac:dyDescent="0.4">
      <c r="A39" s="1"/>
      <c r="B39" s="1"/>
      <c r="C39" s="18">
        <v>0.02</v>
      </c>
      <c r="D39" s="33">
        <f>IF(DCF!C23&lt;=DCF!C24,"NM",(DCF!C16/(1+DCF!C23)^DCF!C17+DCF!D16/(1+DCF!C23)^DCF!D17+DCF!E16/(1+DCF!C23)^DCF!E17+DCF!F16/(1+DCF!C23)^DCF!F17+(DCF!G16+(DCF!G7*D$34*(DCF!G8/DCF!G7+$C39)*(1-DCF!G9))-DCF!G10)/(1+DCF!C23)^DCF!G17+(DCF!G7*D$34*(DCF!G8/DCF!G7+$C39)*(1-DCF!G9))*(1+DCF!C24)*(1-DCF!C25)/(DCF!C23-DCF!C24)/(1+DCF!C23)^DCF!G17+DCF!C31-DCF!C32-DCF!C33)/DCF!C35)</f>
        <v>26.557857431605697</v>
      </c>
      <c r="E39" s="33">
        <f>IF(DCF!C23&lt;=DCF!C24,"NM",(DCF!C16/(1+DCF!C23)^DCF!C17+DCF!D16/(1+DCF!C23)^DCF!D17+DCF!E16/(1+DCF!C23)^DCF!E17+DCF!F16/(1+DCF!C23)^DCF!F17+(DCF!G16+(DCF!G7*E$34*(DCF!G8/DCF!G7+$C39)*(1-DCF!G9))-DCF!G10)/(1+DCF!C23)^DCF!G17+(DCF!G7*E$34*(DCF!G8/DCF!G7+$C39)*(1-DCF!G9))*(1+DCF!C24)*(1-DCF!C25)/(DCF!C23-DCF!C24)/(1+DCF!C23)^DCF!G17+DCF!C31-DCF!C32-DCF!C33)/DCF!C35)</f>
        <v>28.953609314914512</v>
      </c>
      <c r="F39" s="33">
        <f>IF(DCF!C23&lt;=DCF!C24,"NM",(DCF!C16/(1+DCF!C23)^DCF!C17+DCF!D16/(1+DCF!C23)^DCF!D17+DCF!E16/(1+DCF!C23)^DCF!E17+DCF!F16/(1+DCF!C23)^DCF!F17+(DCF!G16+(DCF!G7*F$34*(DCF!G8/DCF!G7+$C39)*(1-DCF!G9))-DCF!G10)/(1+DCF!C23)^DCF!G17+(DCF!G7*F$34*(DCF!G8/DCF!G7+$C39)*(1-DCF!G9))*(1+DCF!C24)*(1-DCF!C25)/(DCF!C23-DCF!C24)/(1+DCF!C23)^DCF!G17+DCF!C31-DCF!C32-DCF!C33)/DCF!C35)</f>
        <v>31.349361198223324</v>
      </c>
      <c r="G39" s="33">
        <f>IF(DCF!C23&lt;=DCF!C24,"NM",(DCF!C16/(1+DCF!C23)^DCF!C17+DCF!D16/(1+DCF!C23)^DCF!D17+DCF!E16/(1+DCF!C23)^DCF!E17+DCF!F16/(1+DCF!C23)^DCF!F17+(DCF!G16+(DCF!G7*G$34*(DCF!G8/DCF!G7+$C39)*(1-DCF!G9))-DCF!G10)/(1+DCF!C23)^DCF!G17+(DCF!G7*G$34*(DCF!G8/DCF!G7+$C39)*(1-DCF!G9))*(1+DCF!C24)*(1-DCF!C25)/(DCF!C23-DCF!C24)/(1+DCF!C23)^DCF!G17+DCF!C31-DCF!C32-DCF!C33)/DCF!C35)</f>
        <v>33.745113081532146</v>
      </c>
      <c r="H39" s="33">
        <f>IF(DCF!C23&lt;=DCF!C24,"NM",(DCF!C16/(1+DCF!C23)^DCF!C17+DCF!D16/(1+DCF!C23)^DCF!D17+DCF!E16/(1+DCF!C23)^DCF!E17+DCF!F16/(1+DCF!C23)^DCF!F17+(DCF!G16+(DCF!G7*H$34*(DCF!G8/DCF!G7+$C39)*(1-DCF!G9))-DCF!G10)/(1+DCF!C23)^DCF!G17+(DCF!G7*H$34*(DCF!G8/DCF!G7+$C39)*(1-DCF!G9))*(1+DCF!C24)*(1-DCF!C25)/(DCF!C23-DCF!C24)/(1+DCF!C23)^DCF!G17+DCF!C31-DCF!C32-DCF!C33)/DCF!C35)</f>
        <v>36.140864964840958</v>
      </c>
      <c r="I39" s="1"/>
      <c r="J39" s="1"/>
      <c r="K39" s="1"/>
    </row>
    <row r="40" spans="1:1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">
      <c r="A42" s="1"/>
      <c r="B42" s="4" t="s">
        <v>318</v>
      </c>
      <c r="C42" s="4"/>
      <c r="D42" s="4"/>
      <c r="E42" s="4"/>
      <c r="F42" s="4"/>
      <c r="G42" s="4"/>
      <c r="H42" s="4"/>
      <c r="I42" s="1"/>
      <c r="J42" s="1"/>
      <c r="K42" s="1"/>
    </row>
    <row r="43" spans="1:11" x14ac:dyDescent="0.4">
      <c r="A43" s="1"/>
      <c r="B43" s="5" t="s">
        <v>319</v>
      </c>
      <c r="C43" s="16">
        <v>3952.7579460000002</v>
      </c>
      <c r="D43" s="33">
        <f>DCF!C34/C43</f>
        <v>27.186360436834924</v>
      </c>
      <c r="E43" s="1"/>
      <c r="F43" s="1"/>
      <c r="G43" s="1"/>
      <c r="H43" s="1"/>
      <c r="I43" s="1"/>
      <c r="J43" s="1"/>
      <c r="K43" s="1"/>
    </row>
    <row r="44" spans="1:11" x14ac:dyDescent="0.4">
      <c r="A44" s="1"/>
      <c r="B44" s="5" t="s">
        <v>320</v>
      </c>
      <c r="C44" s="16">
        <v>4376.5018500000006</v>
      </c>
      <c r="D44" s="33">
        <f>DCF!C34/C44</f>
        <v>24.554108720305756</v>
      </c>
      <c r="E44" s="1"/>
      <c r="F44" s="1"/>
      <c r="G44" s="1"/>
      <c r="H44" s="1"/>
      <c r="I44" s="1"/>
      <c r="J44" s="1"/>
      <c r="K44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141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0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</row>
    <row r="2" spans="1:11" ht="19" x14ac:dyDescent="0.6">
      <c r="A2" s="1"/>
      <c r="B2" s="44" t="s">
        <v>321</v>
      </c>
      <c r="C2" s="43"/>
      <c r="D2" s="43"/>
      <c r="E2" s="43"/>
      <c r="F2" s="43"/>
      <c r="G2" s="43"/>
      <c r="H2" s="43"/>
      <c r="I2" s="46"/>
      <c r="J2" s="46"/>
      <c r="K2" s="46"/>
    </row>
    <row r="3" spans="1:11" x14ac:dyDescent="0.4">
      <c r="A3" s="1"/>
      <c r="B3" s="2" t="s">
        <v>322</v>
      </c>
      <c r="C3" s="1"/>
      <c r="D3" s="1"/>
      <c r="E3" s="1"/>
      <c r="F3" s="1"/>
      <c r="G3" s="1"/>
      <c r="H3" s="1"/>
    </row>
    <row r="4" spans="1:11" x14ac:dyDescent="0.4">
      <c r="A4" s="1"/>
      <c r="B4" s="1"/>
      <c r="C4" s="1"/>
      <c r="D4" s="1"/>
      <c r="E4" s="1"/>
      <c r="F4" s="1"/>
      <c r="G4" s="1"/>
      <c r="H4" s="1"/>
    </row>
    <row r="5" spans="1:11" x14ac:dyDescent="0.4">
      <c r="A5" s="1"/>
      <c r="B5" s="4" t="s">
        <v>323</v>
      </c>
      <c r="C5" s="4"/>
      <c r="D5" s="4"/>
      <c r="E5" s="4"/>
      <c r="F5" s="4"/>
      <c r="G5" s="4"/>
      <c r="H5" s="4"/>
    </row>
    <row r="6" spans="1:11" x14ac:dyDescent="0.4">
      <c r="A6" s="1"/>
      <c r="B6" s="11" t="s">
        <v>324</v>
      </c>
      <c r="C6" s="11" t="s">
        <v>22</v>
      </c>
      <c r="D6" s="11" t="s">
        <v>24</v>
      </c>
      <c r="E6" s="11" t="s">
        <v>25</v>
      </c>
      <c r="F6" s="11" t="s">
        <v>26</v>
      </c>
      <c r="G6" s="11" t="s">
        <v>27</v>
      </c>
      <c r="H6" s="1"/>
    </row>
    <row r="7" spans="1:11" x14ac:dyDescent="0.4">
      <c r="A7" s="1"/>
      <c r="B7" s="5" t="s">
        <v>325</v>
      </c>
      <c r="C7" s="28">
        <f>Assumptions!F29</f>
        <v>520000</v>
      </c>
      <c r="D7" s="28">
        <f>('Raw Data'!E74+C7)*(1+Assumptions!G30)</f>
        <v>2121383.15</v>
      </c>
      <c r="E7" s="28">
        <f>D7*(1+Assumptions!H30)</f>
        <v>2418376.7910000002</v>
      </c>
      <c r="F7" s="28">
        <f>E7*(1+Assumptions!I30)</f>
        <v>2708582.0059200004</v>
      </c>
      <c r="G7" s="28">
        <f>F7*(1+Assumptions!J30)</f>
        <v>2979440.2065120009</v>
      </c>
      <c r="H7" s="1"/>
    </row>
    <row r="8" spans="1:11" x14ac:dyDescent="0.4">
      <c r="A8" s="1"/>
      <c r="B8" s="5" t="s">
        <v>326</v>
      </c>
      <c r="C8" s="29">
        <f>Assumptions!F31</f>
        <v>42000</v>
      </c>
      <c r="D8" s="29">
        <f>C8*(1+Assumptions!G32)</f>
        <v>42420</v>
      </c>
      <c r="E8" s="29">
        <f>D8*(1+Assumptions!H32)</f>
        <v>42844.2</v>
      </c>
      <c r="F8" s="29">
        <f>E8*(1+Assumptions!I32)</f>
        <v>43272.642</v>
      </c>
      <c r="G8" s="29">
        <f>F8*(1+Assumptions!J32)</f>
        <v>43705.368419999999</v>
      </c>
      <c r="H8" s="1"/>
    </row>
    <row r="9" spans="1:11" x14ac:dyDescent="0.4">
      <c r="A9" s="1"/>
      <c r="B9" s="5" t="s">
        <v>327</v>
      </c>
      <c r="C9" s="20">
        <f>C7*C8/1000000</f>
        <v>21840</v>
      </c>
      <c r="D9" s="20">
        <f>D7*D8/1000000</f>
        <v>89989.073222999999</v>
      </c>
      <c r="E9" s="20">
        <f>E7*E8/1000000</f>
        <v>103613.41890896221</v>
      </c>
      <c r="F9" s="20">
        <f>F7*F8/1000000</f>
        <v>117207.49946981805</v>
      </c>
      <c r="G9" s="20">
        <f>G7*G8/1000000</f>
        <v>130217.53191096788</v>
      </c>
      <c r="H9" s="1"/>
    </row>
    <row r="10" spans="1:11" x14ac:dyDescent="0.4">
      <c r="A10" s="1"/>
      <c r="B10" s="5" t="s">
        <v>328</v>
      </c>
      <c r="C10" s="29">
        <f>Assumptions!F33</f>
        <v>15</v>
      </c>
      <c r="D10" s="29">
        <f>('Raw Data'!E75+C10)*(1+Assumptions!G34)</f>
        <v>68.850000000000009</v>
      </c>
      <c r="E10" s="29">
        <f>D10*(1+Assumptions!H34)</f>
        <v>89.50500000000001</v>
      </c>
      <c r="F10" s="29">
        <f>E10*(1+Assumptions!I34)</f>
        <v>111.88125000000001</v>
      </c>
      <c r="G10" s="29">
        <f>F10*(1+Assumptions!J34)</f>
        <v>134.25749999999999</v>
      </c>
      <c r="H10" s="1"/>
    </row>
    <row r="11" spans="1:11" x14ac:dyDescent="0.4">
      <c r="A11" s="1"/>
      <c r="B11" s="5" t="s">
        <v>329</v>
      </c>
      <c r="C11" s="29">
        <f>Assumptions!F35</f>
        <v>230</v>
      </c>
      <c r="D11" s="29">
        <f>C11*(1+Assumptions!G36)</f>
        <v>225.4</v>
      </c>
      <c r="E11" s="29">
        <f>D11*(1+Assumptions!H36)</f>
        <v>220.892</v>
      </c>
      <c r="F11" s="29">
        <f>E11*(1+Assumptions!I36)</f>
        <v>216.47415999999998</v>
      </c>
      <c r="G11" s="29">
        <f>F11*(1+Assumptions!J36)</f>
        <v>212.14467679999998</v>
      </c>
      <c r="H11" s="1"/>
    </row>
    <row r="12" spans="1:11" x14ac:dyDescent="0.4">
      <c r="A12" s="1"/>
      <c r="B12" s="5" t="s">
        <v>330</v>
      </c>
      <c r="C12" s="20">
        <f>C10*C11</f>
        <v>3450</v>
      </c>
      <c r="D12" s="20">
        <f>D10*D11</f>
        <v>15518.790000000003</v>
      </c>
      <c r="E12" s="20">
        <f>E10*E11</f>
        <v>19770.938460000001</v>
      </c>
      <c r="F12" s="20">
        <f>F10*F11</f>
        <v>24219.399613500002</v>
      </c>
      <c r="G12" s="20">
        <f>G10*G11</f>
        <v>28482.013945475996</v>
      </c>
      <c r="H12" s="1"/>
    </row>
    <row r="13" spans="1:11" x14ac:dyDescent="0.4">
      <c r="A13" s="1"/>
      <c r="B13" s="5" t="s">
        <v>331</v>
      </c>
      <c r="C13" s="20">
        <f>Assumptions!F37</f>
        <v>4800</v>
      </c>
      <c r="D13" s="20">
        <f>('Raw Data'!E8+C13)*(1+Assumptions!G38)</f>
        <v>22163.75</v>
      </c>
      <c r="E13" s="20">
        <f>D13*(1+Assumptions!H38)</f>
        <v>27039.774999999998</v>
      </c>
      <c r="F13" s="20">
        <f>E13*(1+Assumptions!I38)</f>
        <v>32447.729999999996</v>
      </c>
      <c r="G13" s="20">
        <f>F13*(1+Assumptions!J38)</f>
        <v>38288.321399999993</v>
      </c>
      <c r="H13" s="1"/>
    </row>
    <row r="14" spans="1:11" x14ac:dyDescent="0.4">
      <c r="A14" s="1"/>
      <c r="B14" s="7" t="s">
        <v>332</v>
      </c>
      <c r="C14" s="30">
        <f>C9+C12+C13</f>
        <v>30090</v>
      </c>
      <c r="D14" s="30">
        <f>D9+D12+D13</f>
        <v>127671.61322300001</v>
      </c>
      <c r="E14" s="30">
        <f>E9+E12+E13</f>
        <v>150424.13236896222</v>
      </c>
      <c r="F14" s="30">
        <f>F9+F12+F13</f>
        <v>173874.62908331805</v>
      </c>
      <c r="G14" s="30">
        <f>G9+G12+G13</f>
        <v>196987.86725644386</v>
      </c>
      <c r="H14" s="1"/>
    </row>
    <row r="15" spans="1:11" x14ac:dyDescent="0.4">
      <c r="A15" s="1"/>
      <c r="B15" s="5" t="s">
        <v>333</v>
      </c>
      <c r="C15" s="20">
        <f>C9*Assumptions!F39+C12*Assumptions!F40+C13*Assumptions!F41</f>
        <v>5774.4000000000005</v>
      </c>
      <c r="D15" s="20">
        <f>D9*Assumptions!G39+D12*Assumptions!G40+D13*Assumptions!G41</f>
        <v>25100.203862369999</v>
      </c>
      <c r="E15" s="20">
        <f>E9*Assumptions!H39+E12*Assumptions!H40+E13*Assumptions!H41</f>
        <v>30436.09589834763</v>
      </c>
      <c r="F15" s="20">
        <f>F9*Assumptions!I39+F12*Assumptions!I40+F13*Assumptions!I41</f>
        <v>36305.717181878616</v>
      </c>
      <c r="G15" s="20">
        <f>G9*Assumptions!J39+G12*Assumptions!J40+G13*Assumptions!J41</f>
        <v>42371.569221663827</v>
      </c>
      <c r="H15" s="1"/>
    </row>
    <row r="16" spans="1:11" x14ac:dyDescent="0.4">
      <c r="A16" s="1"/>
      <c r="B16" s="7" t="s">
        <v>334</v>
      </c>
      <c r="C16" s="30">
        <f>C15-C14*(Assumptions!F42+Assumptions!F43)</f>
        <v>960</v>
      </c>
      <c r="D16" s="30">
        <f>D15-D14*(Assumptions!G42+Assumptions!G43)</f>
        <v>5949.4618789199958</v>
      </c>
      <c r="E16" s="30">
        <f>E15-E14*(Assumptions!H42+Assumptions!H43)</f>
        <v>9376.7173666929157</v>
      </c>
      <c r="F16" s="30">
        <f>F15-F14*(Assumptions!I42+Assumptions!I43)</f>
        <v>13702.015401047269</v>
      </c>
      <c r="G16" s="30">
        <f>G15-G14*(Assumptions!J42+Assumptions!J43)</f>
        <v>18733.02515089056</v>
      </c>
      <c r="H16" s="1"/>
    </row>
    <row r="17" spans="1:8" x14ac:dyDescent="0.4">
      <c r="A17" s="1"/>
      <c r="B17" s="7" t="s">
        <v>335</v>
      </c>
      <c r="C17" s="30">
        <f>C16*(1-Assumptions!F54)</f>
        <v>758.40000000000009</v>
      </c>
      <c r="D17" s="30">
        <f>D16*(1-Assumptions!G54)</f>
        <v>4700.0748843467973</v>
      </c>
      <c r="E17" s="30">
        <f>E16*(1-Assumptions!H54)</f>
        <v>7407.6067196874037</v>
      </c>
      <c r="F17" s="30">
        <f>F16*(1-Assumptions!I54)</f>
        <v>10824.592166827342</v>
      </c>
      <c r="G17" s="30">
        <f>G16*(1-Assumptions!J54)</f>
        <v>14799.089869203543</v>
      </c>
      <c r="H17" s="1"/>
    </row>
    <row r="18" spans="1:8" x14ac:dyDescent="0.4">
      <c r="A18" s="1"/>
      <c r="B18" s="5" t="s">
        <v>336</v>
      </c>
      <c r="C18" s="20">
        <f>'Raw Data'!E76</f>
        <v>59091</v>
      </c>
      <c r="D18" s="20">
        <f>C22</f>
        <v>64200.088000000003</v>
      </c>
      <c r="E18" s="20">
        <f>D22</f>
        <v>78496.077440000008</v>
      </c>
      <c r="F18" s="20">
        <f>E22</f>
        <v>93076.54814720001</v>
      </c>
      <c r="G18" s="20">
        <f>F22</f>
        <v>103907.36236953601</v>
      </c>
      <c r="H18" s="1"/>
    </row>
    <row r="19" spans="1:8" x14ac:dyDescent="0.4">
      <c r="A19" s="1"/>
      <c r="B19" s="5" t="s">
        <v>337</v>
      </c>
      <c r="C19" s="21">
        <f>Assumptions!F44</f>
        <v>3.2000000000000001E-2</v>
      </c>
      <c r="D19" s="21">
        <f>Assumptions!G44</f>
        <v>0.12</v>
      </c>
      <c r="E19" s="21">
        <f>Assumptions!H44</f>
        <v>0.12</v>
      </c>
      <c r="F19" s="21">
        <f>Assumptions!I44</f>
        <v>0.12</v>
      </c>
      <c r="G19" s="21">
        <f>Assumptions!J44</f>
        <v>0.12</v>
      </c>
      <c r="H19" s="1"/>
    </row>
    <row r="20" spans="1:8" x14ac:dyDescent="0.4">
      <c r="A20" s="1"/>
      <c r="B20" s="5" t="s">
        <v>338</v>
      </c>
      <c r="C20" s="20">
        <f>C18*C19</f>
        <v>1890.912</v>
      </c>
      <c r="D20" s="20">
        <f>D18*D19</f>
        <v>7704.0105599999997</v>
      </c>
      <c r="E20" s="20">
        <f>E18*E19</f>
        <v>9419.5292927999999</v>
      </c>
      <c r="F20" s="20">
        <f>F18*F19</f>
        <v>11169.185777664001</v>
      </c>
      <c r="G20" s="20">
        <f>G18*G19</f>
        <v>12468.883484344322</v>
      </c>
      <c r="H20" s="1"/>
    </row>
    <row r="21" spans="1:8" x14ac:dyDescent="0.4">
      <c r="A21" s="1"/>
      <c r="B21" s="5" t="s">
        <v>339</v>
      </c>
      <c r="C21" s="20">
        <f>Assumptions!F45</f>
        <v>7000</v>
      </c>
      <c r="D21" s="20">
        <f>Assumptions!G45</f>
        <v>22000</v>
      </c>
      <c r="E21" s="20">
        <f>Assumptions!H45</f>
        <v>24000</v>
      </c>
      <c r="F21" s="20">
        <f>Assumptions!I45</f>
        <v>22000</v>
      </c>
      <c r="G21" s="20">
        <f>Assumptions!J45</f>
        <v>20000</v>
      </c>
      <c r="H21" s="1"/>
    </row>
    <row r="22" spans="1:8" x14ac:dyDescent="0.4">
      <c r="A22" s="1"/>
      <c r="B22" s="5" t="s">
        <v>340</v>
      </c>
      <c r="C22" s="20">
        <f>C18+C21-C20</f>
        <v>64200.088000000003</v>
      </c>
      <c r="D22" s="20">
        <f>D18+D21-D20</f>
        <v>78496.077440000008</v>
      </c>
      <c r="E22" s="20">
        <f>E18+E21-E20</f>
        <v>93076.54814720001</v>
      </c>
      <c r="F22" s="20">
        <f>F18+F21-F20</f>
        <v>103907.36236953601</v>
      </c>
      <c r="G22" s="20">
        <f>G18+G21-G20</f>
        <v>111438.4788851917</v>
      </c>
      <c r="H22" s="1"/>
    </row>
    <row r="23" spans="1:8" x14ac:dyDescent="0.4">
      <c r="A23" s="1"/>
      <c r="B23" s="5" t="s">
        <v>341</v>
      </c>
      <c r="C23" s="20">
        <f>(C14*Assumptions!F46/365+(C14-C15)*Assumptions!F47/365+C14*Assumptions!F49-(C14-C15)*Assumptions!F48/365-C14*Assumptions!F50-C14*Assumptions!F51-C14*Assumptions!F52)*4</f>
        <v>-34428.221917808223</v>
      </c>
      <c r="D23" s="20">
        <f>D14*Assumptions!G46/365+(D14-D15)*Assumptions!G47/365+D14*Assumptions!G49-(D14-D15)*Assumptions!G48/365-D14*Assumptions!G50-D14*Assumptions!G51-D14*Assumptions!G52</f>
        <v>-36503.239006333628</v>
      </c>
      <c r="E23" s="20">
        <f>E14*Assumptions!H46/365+(E14-E15)*Assumptions!H47/365+E14*Assumptions!H49-(E14-E15)*Assumptions!H48/365-E14*Assumptions!H50-E14*Assumptions!H51-E14*Assumptions!H52</f>
        <v>-42984.89017848338</v>
      </c>
      <c r="F23" s="20">
        <f>F14*Assumptions!I46/365+(F14-F15)*Assumptions!I47/365+F14*Assumptions!I49-(F14-F15)*Assumptions!I48/365-F14*Assumptions!I50-F14*Assumptions!I51-F14*Assumptions!I52</f>
        <v>-49655.240453328784</v>
      </c>
      <c r="G23" s="20">
        <f>G14*Assumptions!J46/365+(G14-G15)*Assumptions!J47/365+G14*Assumptions!J49-(G14-G15)*Assumptions!J48/365-G14*Assumptions!J50-G14*Assumptions!J51-G14*Assumptions!J52</f>
        <v>-56221.970668013033</v>
      </c>
      <c r="H23" s="1"/>
    </row>
    <row r="24" spans="1:8" x14ac:dyDescent="0.4">
      <c r="A24" s="1"/>
      <c r="B24" s="5" t="s">
        <v>342</v>
      </c>
      <c r="C24" s="20">
        <f>C23-'Raw Data'!E81</f>
        <v>-1278.2219178082232</v>
      </c>
      <c r="D24" s="20">
        <f>D23-C23</f>
        <v>-2075.0170885254047</v>
      </c>
      <c r="E24" s="20">
        <f>E23-D23</f>
        <v>-6481.6511721497518</v>
      </c>
      <c r="F24" s="20">
        <f>F23-E23</f>
        <v>-6670.3502748454048</v>
      </c>
      <c r="G24" s="20">
        <f>G23-F23</f>
        <v>-6566.7302146842485</v>
      </c>
      <c r="H24" s="1"/>
    </row>
    <row r="25" spans="1:8" x14ac:dyDescent="0.4">
      <c r="A25" s="1"/>
      <c r="B25" s="7" t="s">
        <v>343</v>
      </c>
      <c r="C25" s="30">
        <f>C17+C20-C21-C24</f>
        <v>-3072.4660821917769</v>
      </c>
      <c r="D25" s="30">
        <f>D17+D20-D21-D24</f>
        <v>-7520.8974671277974</v>
      </c>
      <c r="E25" s="30">
        <f>E17+E20-E21-E24</f>
        <v>-691.21281536284368</v>
      </c>
      <c r="F25" s="30">
        <f>F17+F20-F21-F24</f>
        <v>6664.1282193367479</v>
      </c>
      <c r="G25" s="30">
        <f>G17+G20-G21-G24</f>
        <v>13834.703568232115</v>
      </c>
      <c r="H25" s="1"/>
    </row>
    <row r="26" spans="1:8" x14ac:dyDescent="0.4">
      <c r="A26" s="1"/>
      <c r="B26" s="5" t="s">
        <v>344</v>
      </c>
      <c r="C26" s="19">
        <v>0.18082191780821921</v>
      </c>
      <c r="D26" s="19">
        <v>1.1808219178082191</v>
      </c>
      <c r="E26" s="19">
        <v>2.1808219178082191</v>
      </c>
      <c r="F26" s="19">
        <v>3.1808219178082191</v>
      </c>
      <c r="G26" s="19">
        <v>4.1808219178082204</v>
      </c>
      <c r="H26" s="1"/>
    </row>
    <row r="27" spans="1:8" x14ac:dyDescent="0.4">
      <c r="A27" s="1"/>
      <c r="B27" s="5" t="s">
        <v>345</v>
      </c>
      <c r="C27" s="36">
        <f>1/(1+Assumptions!$C$23+Assumptions!F59)^C26</f>
        <v>0.97814780347263885</v>
      </c>
      <c r="D27" s="36">
        <f>1/(1+Assumptions!$C$23+Assumptions!G59)^D26</f>
        <v>0.86564210585623513</v>
      </c>
      <c r="E27" s="36">
        <f>1/(1+Assumptions!$C$23+Assumptions!H59)^E26</f>
        <v>0.76607671434818914</v>
      </c>
      <c r="F27" s="36">
        <f>1/(1+Assumptions!$C$23+Assumptions!I59)^F26</f>
        <v>0.67796324635343497</v>
      </c>
      <c r="G27" s="36">
        <f>1/(1+Assumptions!$C$23+Assumptions!J59)^G26</f>
        <v>0.59998451173021838</v>
      </c>
      <c r="H27" s="1"/>
    </row>
    <row r="28" spans="1:8" x14ac:dyDescent="0.4">
      <c r="A28" s="1"/>
      <c r="B28" s="7" t="s">
        <v>346</v>
      </c>
      <c r="C28" s="20">
        <f>C25*C27</f>
        <v>-3005.3259495400707</v>
      </c>
      <c r="D28" s="20">
        <f>D25*D27</f>
        <v>-6510.4055213733318</v>
      </c>
      <c r="E28" s="20">
        <f>E25*E27</f>
        <v>-529.52204250852878</v>
      </c>
      <c r="F28" s="20">
        <f>F25*F27</f>
        <v>4518.0340016970777</v>
      </c>
      <c r="G28" s="20">
        <f>G25*G27</f>
        <v>8300.6078653180557</v>
      </c>
      <c r="H28" s="1"/>
    </row>
    <row r="29" spans="1:8" x14ac:dyDescent="0.4">
      <c r="A29" s="1"/>
      <c r="B29" s="1"/>
      <c r="C29" s="1"/>
      <c r="D29" s="1"/>
      <c r="E29" s="1"/>
      <c r="F29" s="1"/>
      <c r="G29" s="1"/>
      <c r="H29" s="1"/>
    </row>
    <row r="30" spans="1:8" x14ac:dyDescent="0.4">
      <c r="A30" s="1"/>
      <c r="B30" s="1"/>
      <c r="C30" s="1"/>
      <c r="D30" s="1"/>
      <c r="E30" s="1"/>
      <c r="F30" s="1"/>
      <c r="G30" s="1"/>
      <c r="H30" s="1"/>
    </row>
    <row r="31" spans="1:8" x14ac:dyDescent="0.4">
      <c r="A31" s="1"/>
      <c r="B31" s="5" t="s">
        <v>17</v>
      </c>
      <c r="C31" s="21">
        <f>Assumptions!$C$23+Assumptions!F59</f>
        <v>0.1299679126688513</v>
      </c>
      <c r="D31" s="1"/>
      <c r="E31" s="1"/>
      <c r="F31" s="1"/>
      <c r="G31" s="1"/>
      <c r="H31" s="1"/>
    </row>
    <row r="32" spans="1:8" x14ac:dyDescent="0.4">
      <c r="A32" s="1"/>
      <c r="B32" s="5" t="s">
        <v>10</v>
      </c>
      <c r="C32" s="21">
        <f>Assumptions!F60</f>
        <v>2.5000000000000001E-2</v>
      </c>
      <c r="D32" s="1"/>
      <c r="E32" s="1"/>
      <c r="F32" s="1"/>
      <c r="G32" s="1"/>
      <c r="H32" s="1"/>
    </row>
    <row r="33" spans="1:8" x14ac:dyDescent="0.4">
      <c r="A33" s="1"/>
      <c r="B33" s="5" t="s">
        <v>347</v>
      </c>
      <c r="C33" s="21">
        <f>Assumptions!F61</f>
        <v>0.2</v>
      </c>
      <c r="D33" s="1"/>
      <c r="E33" s="1"/>
      <c r="F33" s="1"/>
      <c r="G33" s="1"/>
      <c r="H33" s="1"/>
    </row>
    <row r="34" spans="1:8" x14ac:dyDescent="0.4">
      <c r="A34" s="1"/>
      <c r="B34" s="5" t="s">
        <v>301</v>
      </c>
      <c r="C34" s="20">
        <f>G17*(1+C32)*(1-C33)</f>
        <v>12135.253692746905</v>
      </c>
      <c r="D34" s="1"/>
      <c r="E34" s="1"/>
      <c r="F34" s="1"/>
      <c r="G34" s="1"/>
      <c r="H34" s="1"/>
    </row>
    <row r="35" spans="1:8" x14ac:dyDescent="0.4">
      <c r="A35" s="1"/>
      <c r="B35" s="5" t="s">
        <v>303</v>
      </c>
      <c r="C35" s="20">
        <f>C34/(C31-C32)</f>
        <v>115609.17412000686</v>
      </c>
      <c r="D35" s="1"/>
      <c r="E35" s="1"/>
      <c r="F35" s="1"/>
      <c r="G35" s="1"/>
      <c r="H35" s="1"/>
    </row>
    <row r="36" spans="1:8" x14ac:dyDescent="0.4">
      <c r="A36" s="1"/>
      <c r="B36" s="5" t="s">
        <v>305</v>
      </c>
      <c r="C36" s="20">
        <f>SUM(C28:G28)</f>
        <v>2773.3883535932027</v>
      </c>
      <c r="D36" s="1"/>
      <c r="E36" s="1"/>
      <c r="F36" s="1"/>
      <c r="G36" s="1"/>
      <c r="H36" s="1"/>
    </row>
    <row r="37" spans="1:8" x14ac:dyDescent="0.4">
      <c r="A37" s="1"/>
      <c r="B37" s="5" t="s">
        <v>306</v>
      </c>
      <c r="C37" s="20">
        <f>C35*G27</f>
        <v>69363.713885926118</v>
      </c>
      <c r="D37" s="1"/>
      <c r="E37" s="1"/>
      <c r="F37" s="1"/>
      <c r="G37" s="1"/>
      <c r="H37" s="1"/>
    </row>
    <row r="38" spans="1:8" x14ac:dyDescent="0.4">
      <c r="A38" s="1"/>
      <c r="B38" s="7" t="s">
        <v>4</v>
      </c>
      <c r="C38" s="30">
        <f>C36+C37</f>
        <v>72137.102239519314</v>
      </c>
      <c r="D38" s="1"/>
      <c r="E38" s="1"/>
      <c r="F38" s="1"/>
      <c r="G38" s="1"/>
      <c r="H38" s="1"/>
    </row>
    <row r="39" spans="1:8" x14ac:dyDescent="0.4">
      <c r="A39" s="1"/>
      <c r="B39" s="5" t="s">
        <v>307</v>
      </c>
      <c r="C39" s="6">
        <f>Assumptions!C11</f>
        <v>45447</v>
      </c>
      <c r="D39" s="1"/>
      <c r="E39" s="1"/>
      <c r="F39" s="1"/>
      <c r="G39" s="1"/>
      <c r="H39" s="1"/>
    </row>
    <row r="40" spans="1:8" x14ac:dyDescent="0.4">
      <c r="A40" s="1"/>
      <c r="B40" s="5" t="s">
        <v>57</v>
      </c>
      <c r="C40" s="6">
        <f>Assumptions!C12</f>
        <v>9523</v>
      </c>
      <c r="D40" s="1"/>
      <c r="E40" s="1"/>
      <c r="F40" s="1"/>
      <c r="G40" s="1"/>
      <c r="H40" s="1"/>
    </row>
    <row r="41" spans="1:8" x14ac:dyDescent="0.4">
      <c r="A41" s="1"/>
      <c r="B41" s="5" t="s">
        <v>59</v>
      </c>
      <c r="C41" s="6">
        <f>Assumptions!C13</f>
        <v>600</v>
      </c>
      <c r="D41" s="1"/>
      <c r="E41" s="1"/>
      <c r="F41" s="1"/>
      <c r="G41" s="1"/>
      <c r="H41" s="1"/>
    </row>
    <row r="42" spans="1:8" x14ac:dyDescent="0.4">
      <c r="A42" s="1"/>
      <c r="B42" s="7" t="s">
        <v>5</v>
      </c>
      <c r="C42" s="30">
        <f>C38+C39-C40-C41</f>
        <v>107461.10223951931</v>
      </c>
      <c r="D42" s="1"/>
      <c r="E42" s="1"/>
      <c r="F42" s="1"/>
      <c r="G42" s="1"/>
      <c r="H42" s="1"/>
    </row>
    <row r="43" spans="1:8" x14ac:dyDescent="0.4">
      <c r="A43" s="1"/>
      <c r="B43" s="5" t="s">
        <v>52</v>
      </c>
      <c r="C43" s="37">
        <f>Assumptions!C10</f>
        <v>3952.7579460000002</v>
      </c>
      <c r="D43" s="1"/>
      <c r="E43" s="1"/>
      <c r="F43" s="1"/>
      <c r="G43" s="1"/>
      <c r="H43" s="1"/>
    </row>
    <row r="44" spans="1:8" x14ac:dyDescent="0.4">
      <c r="A44" s="1"/>
      <c r="B44" s="7" t="s">
        <v>6</v>
      </c>
      <c r="C44" s="38">
        <f>C42/C43</f>
        <v>27.186360436834931</v>
      </c>
      <c r="D44" s="1"/>
      <c r="E44" s="1"/>
      <c r="F44" s="1"/>
      <c r="G44" s="1"/>
      <c r="H44" s="1"/>
    </row>
    <row r="45" spans="1:8" x14ac:dyDescent="0.4">
      <c r="A45" s="1"/>
      <c r="B45" s="5" t="s">
        <v>348</v>
      </c>
      <c r="C45" s="32">
        <f>Assumptions!F62</f>
        <v>12</v>
      </c>
      <c r="D45" s="1"/>
      <c r="E45" s="1"/>
      <c r="F45" s="1"/>
      <c r="G45" s="1"/>
      <c r="H45" s="1"/>
    </row>
    <row r="46" spans="1:8" x14ac:dyDescent="0.4">
      <c r="A46" s="1"/>
      <c r="B46" s="5" t="s">
        <v>310</v>
      </c>
      <c r="C46" s="33">
        <f>(C36+(G16+G20)*C45*G27+C39-C40-C41)/C43</f>
        <v>66.471394138926769</v>
      </c>
      <c r="D46" s="1"/>
      <c r="E46" s="1"/>
      <c r="F46" s="1"/>
      <c r="G46" s="1"/>
      <c r="H46" s="1"/>
    </row>
    <row r="47" spans="1:8" x14ac:dyDescent="0.4">
      <c r="A47" s="1"/>
      <c r="B47" s="5" t="s">
        <v>309</v>
      </c>
      <c r="C47" s="21">
        <f>C37/C38</f>
        <v>0.96155392623916858</v>
      </c>
      <c r="D47" s="1"/>
      <c r="E47" s="1"/>
      <c r="F47" s="1"/>
      <c r="G47" s="1"/>
      <c r="H47" s="1"/>
    </row>
    <row r="48" spans="1:8" x14ac:dyDescent="0.4">
      <c r="A48" s="1"/>
      <c r="B48" s="1"/>
      <c r="C48" s="1"/>
      <c r="D48" s="1"/>
      <c r="E48" s="1"/>
      <c r="F48" s="1"/>
      <c r="G48" s="1"/>
      <c r="H48" s="1"/>
    </row>
    <row r="49" spans="1:8" x14ac:dyDescent="0.4">
      <c r="A49" s="1"/>
      <c r="B49" s="1"/>
      <c r="C49" s="1"/>
      <c r="D49" s="1"/>
      <c r="E49" s="1"/>
      <c r="F49" s="1"/>
      <c r="G49" s="1"/>
      <c r="H49" s="1"/>
    </row>
    <row r="50" spans="1:8" x14ac:dyDescent="0.4">
      <c r="A50" s="1"/>
      <c r="B50" s="1"/>
      <c r="C50" s="1"/>
      <c r="D50" s="1"/>
      <c r="E50" s="1"/>
      <c r="F50" s="1"/>
      <c r="G50" s="1"/>
      <c r="H50" s="1"/>
    </row>
    <row r="51" spans="1:8" x14ac:dyDescent="0.4">
      <c r="A51" s="1"/>
      <c r="B51" s="1"/>
      <c r="C51" s="1"/>
      <c r="D51" s="1"/>
      <c r="E51" s="1"/>
      <c r="F51" s="1"/>
      <c r="G51" s="1"/>
      <c r="H51" s="1"/>
    </row>
    <row r="52" spans="1:8" x14ac:dyDescent="0.4">
      <c r="A52" s="1"/>
      <c r="B52" s="4" t="s">
        <v>349</v>
      </c>
      <c r="C52" s="4"/>
      <c r="D52" s="4"/>
      <c r="E52" s="4"/>
      <c r="F52" s="4"/>
      <c r="G52" s="4"/>
      <c r="H52" s="4"/>
    </row>
    <row r="53" spans="1:8" x14ac:dyDescent="0.4">
      <c r="A53" s="1"/>
      <c r="B53" s="11" t="s">
        <v>324</v>
      </c>
      <c r="C53" s="11" t="s">
        <v>22</v>
      </c>
      <c r="D53" s="11" t="s">
        <v>24</v>
      </c>
      <c r="E53" s="11" t="s">
        <v>25</v>
      </c>
      <c r="F53" s="11" t="s">
        <v>26</v>
      </c>
      <c r="G53" s="11" t="s">
        <v>27</v>
      </c>
      <c r="H53" s="1"/>
    </row>
    <row r="54" spans="1:8" x14ac:dyDescent="0.4">
      <c r="A54" s="1"/>
      <c r="B54" s="5" t="s">
        <v>325</v>
      </c>
      <c r="C54" s="28">
        <f>Assumptions!F68</f>
        <v>550000</v>
      </c>
      <c r="D54" s="28">
        <f>('Raw Data'!E74+C54)*(1+Assumptions!G69)</f>
        <v>2343351.25</v>
      </c>
      <c r="E54" s="28">
        <f>D54*(1+Assumptions!H69)</f>
        <v>2858888.5249999999</v>
      </c>
      <c r="F54" s="28">
        <f>E54*(1+Assumptions!I69)</f>
        <v>3430666.23</v>
      </c>
      <c r="G54" s="28">
        <f>F54*(1+Assumptions!J69)</f>
        <v>4048186.1513999999</v>
      </c>
      <c r="H54" s="1"/>
    </row>
    <row r="55" spans="1:8" x14ac:dyDescent="0.4">
      <c r="A55" s="1"/>
      <c r="B55" s="5" t="s">
        <v>326</v>
      </c>
      <c r="C55" s="29">
        <f>Assumptions!F70</f>
        <v>43000</v>
      </c>
      <c r="D55" s="29">
        <f>C55*(1+Assumptions!G71)</f>
        <v>43860</v>
      </c>
      <c r="E55" s="29">
        <f>D55*(1+Assumptions!H71)</f>
        <v>44737.200000000004</v>
      </c>
      <c r="F55" s="29">
        <f>E55*(1+Assumptions!I71)</f>
        <v>45631.944000000003</v>
      </c>
      <c r="G55" s="29">
        <f>F55*(1+Assumptions!J71)</f>
        <v>46544.582880000002</v>
      </c>
      <c r="H55" s="1"/>
    </row>
    <row r="56" spans="1:8" x14ac:dyDescent="0.4">
      <c r="A56" s="1"/>
      <c r="B56" s="5" t="s">
        <v>327</v>
      </c>
      <c r="C56" s="20">
        <f>C54*C55/1000000</f>
        <v>23650</v>
      </c>
      <c r="D56" s="20">
        <f>D54*D55/1000000</f>
        <v>102779.385825</v>
      </c>
      <c r="E56" s="20">
        <f>E54*E55/1000000</f>
        <v>127898.66772063001</v>
      </c>
      <c r="F56" s="20">
        <f>F54*F55/1000000</f>
        <v>156547.96929005111</v>
      </c>
      <c r="G56" s="20">
        <f>G54*G55/1000000</f>
        <v>188421.13583750551</v>
      </c>
      <c r="H56" s="1"/>
    </row>
    <row r="57" spans="1:8" x14ac:dyDescent="0.4">
      <c r="A57" s="1"/>
      <c r="B57" s="5" t="s">
        <v>328</v>
      </c>
      <c r="C57" s="29">
        <f>Assumptions!F72</f>
        <v>17</v>
      </c>
      <c r="D57" s="29">
        <f>('Raw Data'!E75+C57)*(1+Assumptions!G73)</f>
        <v>76.849999999999994</v>
      </c>
      <c r="E57" s="29">
        <f>D57*(1+Assumptions!H73)</f>
        <v>107.58999999999999</v>
      </c>
      <c r="F57" s="29">
        <f>E57*(1+Assumptions!I73)</f>
        <v>145.2465</v>
      </c>
      <c r="G57" s="29">
        <f>F57*(1+Assumptions!J73)</f>
        <v>188.82044999999999</v>
      </c>
      <c r="H57" s="1"/>
    </row>
    <row r="58" spans="1:8" x14ac:dyDescent="0.4">
      <c r="A58" s="1"/>
      <c r="B58" s="5" t="s">
        <v>329</v>
      </c>
      <c r="C58" s="29">
        <f>Assumptions!F74</f>
        <v>240</v>
      </c>
      <c r="D58" s="29">
        <f>C58*(1+Assumptions!G75)</f>
        <v>240</v>
      </c>
      <c r="E58" s="29">
        <f>D58*(1+Assumptions!H75)</f>
        <v>240</v>
      </c>
      <c r="F58" s="29">
        <f>E58*(1+Assumptions!I75)</f>
        <v>240</v>
      </c>
      <c r="G58" s="29">
        <f>F58*(1+Assumptions!J75)</f>
        <v>240</v>
      </c>
      <c r="H58" s="1"/>
    </row>
    <row r="59" spans="1:8" x14ac:dyDescent="0.4">
      <c r="A59" s="1"/>
      <c r="B59" s="5" t="s">
        <v>330</v>
      </c>
      <c r="C59" s="20">
        <f>C57*C58</f>
        <v>4080</v>
      </c>
      <c r="D59" s="20">
        <f>D57*D58</f>
        <v>18444</v>
      </c>
      <c r="E59" s="20">
        <f>E57*E58</f>
        <v>25821.599999999999</v>
      </c>
      <c r="F59" s="20">
        <f>F57*F58</f>
        <v>34859.159999999996</v>
      </c>
      <c r="G59" s="20">
        <f>G57*G58</f>
        <v>45316.907999999996</v>
      </c>
      <c r="H59" s="1"/>
    </row>
    <row r="60" spans="1:8" x14ac:dyDescent="0.4">
      <c r="A60" s="1"/>
      <c r="B60" s="5" t="s">
        <v>331</v>
      </c>
      <c r="C60" s="20">
        <f>Assumptions!F76</f>
        <v>5000</v>
      </c>
      <c r="D60" s="20">
        <f>('Raw Data'!E8+C60)*(1+Assumptions!G77)</f>
        <v>24206.850000000002</v>
      </c>
      <c r="E60" s="20">
        <f>D60*(1+Assumptions!H77)</f>
        <v>31953.042000000005</v>
      </c>
      <c r="F60" s="20">
        <f>E60*(1+Assumptions!I77)</f>
        <v>41538.954600000005</v>
      </c>
      <c r="G60" s="20">
        <f>F60*(1+Assumptions!J77)</f>
        <v>53169.861888000007</v>
      </c>
      <c r="H60" s="1"/>
    </row>
    <row r="61" spans="1:8" x14ac:dyDescent="0.4">
      <c r="A61" s="1"/>
      <c r="B61" s="7" t="s">
        <v>332</v>
      </c>
      <c r="C61" s="30">
        <f>C56+C59+C60</f>
        <v>32730</v>
      </c>
      <c r="D61" s="30">
        <f>D56+D59+D60</f>
        <v>145430.23582500001</v>
      </c>
      <c r="E61" s="30">
        <f>E56+E59+E60</f>
        <v>185673.30972063003</v>
      </c>
      <c r="F61" s="30">
        <f>F56+F59+F60</f>
        <v>232946.08389005112</v>
      </c>
      <c r="G61" s="30">
        <f>G56+G59+G60</f>
        <v>286907.90572550549</v>
      </c>
      <c r="H61" s="1"/>
    </row>
    <row r="62" spans="1:8" x14ac:dyDescent="0.4">
      <c r="A62" s="1"/>
      <c r="B62" s="5" t="s">
        <v>333</v>
      </c>
      <c r="C62" s="20">
        <f>C56*Assumptions!F78+C59*Assumptions!F79+C60*Assumptions!F80</f>
        <v>6854</v>
      </c>
      <c r="D62" s="20">
        <f>D56*Assumptions!G78+D59*Assumptions!G79+D60*Assumptions!G80</f>
        <v>32142.681023249999</v>
      </c>
      <c r="E62" s="20">
        <f>E56*Assumptions!H78+E59*Assumptions!H79+E60*Assumptions!H80</f>
        <v>43110.757718538604</v>
      </c>
      <c r="F62" s="20">
        <f>F56*Assumptions!I78+F59*Assumptions!I79+F60*Assumptions!I80</f>
        <v>56473.829948711762</v>
      </c>
      <c r="G62" s="20">
        <f>G56*Assumptions!J78+G59*Assumptions!J79+G60*Assumptions!J80</f>
        <v>72404.720475241324</v>
      </c>
      <c r="H62" s="1"/>
    </row>
    <row r="63" spans="1:8" x14ac:dyDescent="0.4">
      <c r="A63" s="1"/>
      <c r="B63" s="7" t="s">
        <v>334</v>
      </c>
      <c r="C63" s="30">
        <f>C62-C61*(Assumptions!F81+Assumptions!F82)</f>
        <v>1944.4999999999991</v>
      </c>
      <c r="D63" s="30">
        <f>D62-D61*(Assumptions!G81+Assumptions!G82)</f>
        <v>12509.599186874995</v>
      </c>
      <c r="E63" s="30">
        <f>E62-E61*(Assumptions!H81+Assumptions!H82)</f>
        <v>20829.960552062999</v>
      </c>
      <c r="F63" s="30">
        <f>F62-F61*(Assumptions!I81+Assumptions!I82)</f>
        <v>30849.760720806138</v>
      </c>
      <c r="G63" s="30">
        <f>G62-G61*(Assumptions!J81+Assumptions!J82)</f>
        <v>43713.929902690768</v>
      </c>
      <c r="H63" s="1"/>
    </row>
    <row r="64" spans="1:8" x14ac:dyDescent="0.4">
      <c r="A64" s="1"/>
      <c r="B64" s="7" t="s">
        <v>335</v>
      </c>
      <c r="C64" s="30">
        <f>C63*(1-Assumptions!F93)</f>
        <v>1555.5999999999995</v>
      </c>
      <c r="D64" s="30">
        <f>D63*(1-Assumptions!G93)</f>
        <v>10007.679349499997</v>
      </c>
      <c r="E64" s="30">
        <f>E63*(1-Assumptions!H93)</f>
        <v>16663.968441650399</v>
      </c>
      <c r="F64" s="30">
        <f>F63*(1-Assumptions!I93)</f>
        <v>24679.808576644911</v>
      </c>
      <c r="G64" s="30">
        <f>G63*(1-Assumptions!J93)</f>
        <v>34971.143922152616</v>
      </c>
      <c r="H64" s="1"/>
    </row>
    <row r="65" spans="1:8" x14ac:dyDescent="0.4">
      <c r="A65" s="1"/>
      <c r="B65" s="5" t="s">
        <v>336</v>
      </c>
      <c r="C65" s="20">
        <f>'Raw Data'!E76</f>
        <v>59091</v>
      </c>
      <c r="D65" s="20">
        <f>C69</f>
        <v>64200.088000000003</v>
      </c>
      <c r="E65" s="20">
        <f>D69</f>
        <v>81496.077440000008</v>
      </c>
      <c r="F65" s="20">
        <f>E69</f>
        <v>101716.54814720001</v>
      </c>
      <c r="G65" s="20">
        <f>F69</f>
        <v>121510.56236953603</v>
      </c>
      <c r="H65" s="1"/>
    </row>
    <row r="66" spans="1:8" x14ac:dyDescent="0.4">
      <c r="A66" s="1"/>
      <c r="B66" s="5" t="s">
        <v>337</v>
      </c>
      <c r="C66" s="21">
        <f>Assumptions!F83</f>
        <v>3.2000000000000001E-2</v>
      </c>
      <c r="D66" s="21">
        <f>Assumptions!G83</f>
        <v>0.12</v>
      </c>
      <c r="E66" s="21">
        <f>Assumptions!H83</f>
        <v>0.12</v>
      </c>
      <c r="F66" s="21">
        <f>Assumptions!I83</f>
        <v>0.12</v>
      </c>
      <c r="G66" s="21">
        <f>Assumptions!J83</f>
        <v>0.12</v>
      </c>
      <c r="H66" s="1"/>
    </row>
    <row r="67" spans="1:8" x14ac:dyDescent="0.4">
      <c r="A67" s="1"/>
      <c r="B67" s="5" t="s">
        <v>338</v>
      </c>
      <c r="C67" s="20">
        <f>C65*C66</f>
        <v>1890.912</v>
      </c>
      <c r="D67" s="20">
        <f>D65*D66</f>
        <v>7704.0105599999997</v>
      </c>
      <c r="E67" s="20">
        <f>E65*E66</f>
        <v>9779.5292927999999</v>
      </c>
      <c r="F67" s="20">
        <f>F65*F66</f>
        <v>12205.985777664</v>
      </c>
      <c r="G67" s="20">
        <f>G65*G66</f>
        <v>14581.267484344322</v>
      </c>
      <c r="H67" s="1"/>
    </row>
    <row r="68" spans="1:8" x14ac:dyDescent="0.4">
      <c r="A68" s="1"/>
      <c r="B68" s="5" t="s">
        <v>339</v>
      </c>
      <c r="C68" s="20">
        <f>Assumptions!F84</f>
        <v>7000</v>
      </c>
      <c r="D68" s="20">
        <f>Assumptions!G84</f>
        <v>25000</v>
      </c>
      <c r="E68" s="20">
        <f>Assumptions!H84</f>
        <v>30000</v>
      </c>
      <c r="F68" s="20">
        <f>Assumptions!I84</f>
        <v>32000</v>
      </c>
      <c r="G68" s="20">
        <f>Assumptions!J84</f>
        <v>30000</v>
      </c>
      <c r="H68" s="1"/>
    </row>
    <row r="69" spans="1:8" x14ac:dyDescent="0.4">
      <c r="A69" s="1"/>
      <c r="B69" s="5" t="s">
        <v>340</v>
      </c>
      <c r="C69" s="20">
        <f>C65+C68-C67</f>
        <v>64200.088000000003</v>
      </c>
      <c r="D69" s="20">
        <f>D65+D68-D67</f>
        <v>81496.077440000008</v>
      </c>
      <c r="E69" s="20">
        <f>E65+E68-E67</f>
        <v>101716.54814720001</v>
      </c>
      <c r="F69" s="20">
        <f>F65+F68-F67</f>
        <v>121510.56236953603</v>
      </c>
      <c r="G69" s="20">
        <f>G65+G68-G67</f>
        <v>136929.29488519172</v>
      </c>
      <c r="H69" s="1"/>
    </row>
    <row r="70" spans="1:8" x14ac:dyDescent="0.4">
      <c r="A70" s="1"/>
      <c r="B70" s="5" t="s">
        <v>341</v>
      </c>
      <c r="C70" s="20">
        <f>(C61*Assumptions!F85/365+(C61-C62)*Assumptions!F86/365+C61*Assumptions!F88-(C61-C62)*Assumptions!F87/365-C61*Assumptions!F89-C61*Assumptions!F90-C61*Assumptions!F91)*4</f>
        <v>-42544.263013698626</v>
      </c>
      <c r="D70" s="20">
        <f>D61*Assumptions!G85/365+(D61-D62)*Assumptions!G86/365+D61*Assumptions!G88-(D61-D62)*Assumptions!G87/365-D61*Assumptions!G89-D61*Assumptions!G90-D61*Assumptions!G91</f>
        <v>-47167.06668176713</v>
      </c>
      <c r="E70" s="20">
        <f>E61*Assumptions!H85/365+(E61-E62)*Assumptions!H86/365+E61*Assumptions!H88-(E61-E62)*Assumptions!H87/365-E61*Assumptions!H89-E61*Assumptions!H90-E61*Assumptions!H91</f>
        <v>-60105.389806363281</v>
      </c>
      <c r="F70" s="20">
        <f>F61*Assumptions!I85/365+(F61-F62)*Assumptions!I86/365+F61*Assumptions!I88-(F61-F62)*Assumptions!I87/365-F61*Assumptions!I89-F61*Assumptions!I90-F61*Assumptions!I91</f>
        <v>-75277.541103353549</v>
      </c>
      <c r="G70" s="20">
        <f>G61*Assumptions!J85/365+(G61-G62)*Assumptions!J86/365+G61*Assumptions!J88-(G61-G62)*Assumptions!J87/365-G61*Assumptions!J89-G61*Assumptions!J90-G61*Assumptions!J91</f>
        <v>-92559.442229006163</v>
      </c>
      <c r="H70" s="1"/>
    </row>
    <row r="71" spans="1:8" x14ac:dyDescent="0.4">
      <c r="A71" s="1"/>
      <c r="B71" s="5" t="s">
        <v>342</v>
      </c>
      <c r="C71" s="20">
        <f>C70-'Raw Data'!E81</f>
        <v>-9394.2630136986263</v>
      </c>
      <c r="D71" s="20">
        <f>D70-C70</f>
        <v>-4622.8036680685036</v>
      </c>
      <c r="E71" s="20">
        <f>E70-D70</f>
        <v>-12938.323124596151</v>
      </c>
      <c r="F71" s="20">
        <f>F70-E70</f>
        <v>-15172.151296990269</v>
      </c>
      <c r="G71" s="20">
        <f>G70-F70</f>
        <v>-17281.901125652614</v>
      </c>
      <c r="H71" s="1"/>
    </row>
    <row r="72" spans="1:8" x14ac:dyDescent="0.4">
      <c r="A72" s="1"/>
      <c r="B72" s="7" t="s">
        <v>343</v>
      </c>
      <c r="C72" s="30">
        <f>C64+C67-C68-C71</f>
        <v>5840.775013698626</v>
      </c>
      <c r="D72" s="30">
        <f>D64+D67-D68-D71</f>
        <v>-2665.5064224314992</v>
      </c>
      <c r="E72" s="30">
        <f>E64+E67-E68-E71</f>
        <v>9381.820859046551</v>
      </c>
      <c r="F72" s="30">
        <f>F64+F67-F68-F71</f>
        <v>20057.945651299182</v>
      </c>
      <c r="G72" s="30">
        <f>G64+G67-G68-G71</f>
        <v>36834.312532149554</v>
      </c>
      <c r="H72" s="1"/>
    </row>
    <row r="73" spans="1:8" x14ac:dyDescent="0.4">
      <c r="A73" s="1"/>
      <c r="B73" s="5" t="s">
        <v>344</v>
      </c>
      <c r="C73" s="19">
        <v>0.18082191780821921</v>
      </c>
      <c r="D73" s="19">
        <v>1.1808219178082191</v>
      </c>
      <c r="E73" s="19">
        <v>2.1808219178082191</v>
      </c>
      <c r="F73" s="19">
        <v>3.1808219178082191</v>
      </c>
      <c r="G73" s="19">
        <v>4.1808219178082204</v>
      </c>
      <c r="H73" s="1"/>
    </row>
    <row r="74" spans="1:8" x14ac:dyDescent="0.4">
      <c r="A74" s="1"/>
      <c r="B74" s="5" t="s">
        <v>345</v>
      </c>
      <c r="C74" s="36">
        <f>1/(1+Assumptions!$C$23+Assumptions!F98)^C73</f>
        <v>0.9797213056948858</v>
      </c>
      <c r="D74" s="36">
        <f>1/(1+Assumptions!$C$23+Assumptions!G98)^D73</f>
        <v>0.8747762276155201</v>
      </c>
      <c r="E74" s="36">
        <f>1/(1+Assumptions!$C$23+Assumptions!H98)^E73</f>
        <v>0.78107258049112627</v>
      </c>
      <c r="F74" s="36">
        <f>1/(1+Assumptions!$C$23+Assumptions!I98)^F73</f>
        <v>0.69740621285287785</v>
      </c>
      <c r="G74" s="36">
        <f>1/(1+Assumptions!$C$23+Assumptions!J98)^G73</f>
        <v>0.6227019586578858</v>
      </c>
      <c r="H74" s="1"/>
    </row>
    <row r="75" spans="1:8" x14ac:dyDescent="0.4">
      <c r="A75" s="1"/>
      <c r="B75" s="7" t="s">
        <v>346</v>
      </c>
      <c r="C75" s="20">
        <f>C72*C74</f>
        <v>5722.3317226908821</v>
      </c>
      <c r="D75" s="20">
        <f>D72*D74</f>
        <v>-2331.7216528995677</v>
      </c>
      <c r="E75" s="20">
        <f>E72*E74</f>
        <v>7327.8830280809643</v>
      </c>
      <c r="F75" s="20">
        <f>F72*F74</f>
        <v>13988.535914281412</v>
      </c>
      <c r="G75" s="20">
        <f>G72*G74</f>
        <v>22936.798559586237</v>
      </c>
      <c r="H75" s="1"/>
    </row>
    <row r="76" spans="1:8" x14ac:dyDescent="0.4">
      <c r="A76" s="1"/>
      <c r="B76" s="1"/>
      <c r="C76" s="1"/>
      <c r="D76" s="1"/>
      <c r="E76" s="1"/>
      <c r="F76" s="1"/>
      <c r="G76" s="1"/>
      <c r="H76" s="1"/>
    </row>
    <row r="77" spans="1:8" x14ac:dyDescent="0.4">
      <c r="A77" s="1"/>
      <c r="B77" s="1"/>
      <c r="C77" s="1"/>
      <c r="D77" s="1"/>
      <c r="E77" s="1"/>
      <c r="F77" s="1"/>
      <c r="G77" s="1"/>
      <c r="H77" s="1"/>
    </row>
    <row r="78" spans="1:8" x14ac:dyDescent="0.4">
      <c r="A78" s="1"/>
      <c r="B78" s="5" t="s">
        <v>17</v>
      </c>
      <c r="C78" s="21">
        <f>Assumptions!$C$23+Assumptions!F98</f>
        <v>0.1199679126688513</v>
      </c>
      <c r="D78" s="1"/>
      <c r="E78" s="1"/>
      <c r="F78" s="1"/>
      <c r="G78" s="1"/>
      <c r="H78" s="1"/>
    </row>
    <row r="79" spans="1:8" x14ac:dyDescent="0.4">
      <c r="A79" s="1"/>
      <c r="B79" s="5" t="s">
        <v>10</v>
      </c>
      <c r="C79" s="21">
        <f>Assumptions!F99</f>
        <v>0.03</v>
      </c>
      <c r="D79" s="1"/>
      <c r="E79" s="1"/>
      <c r="F79" s="1"/>
      <c r="G79" s="1"/>
      <c r="H79" s="1"/>
    </row>
    <row r="80" spans="1:8" x14ac:dyDescent="0.4">
      <c r="A80" s="1"/>
      <c r="B80" s="5" t="s">
        <v>347</v>
      </c>
      <c r="C80" s="21">
        <f>Assumptions!F100</f>
        <v>0.2</v>
      </c>
      <c r="D80" s="1"/>
      <c r="E80" s="1"/>
      <c r="F80" s="1"/>
      <c r="G80" s="1"/>
      <c r="H80" s="1"/>
    </row>
    <row r="81" spans="1:8" x14ac:dyDescent="0.4">
      <c r="A81" s="1"/>
      <c r="B81" s="5" t="s">
        <v>301</v>
      </c>
      <c r="C81" s="20">
        <f>G64*(1+C79)*(1-C80)</f>
        <v>28816.222591853759</v>
      </c>
      <c r="D81" s="1"/>
      <c r="E81" s="1"/>
      <c r="F81" s="1"/>
      <c r="G81" s="1"/>
      <c r="H81" s="1"/>
    </row>
    <row r="82" spans="1:8" x14ac:dyDescent="0.4">
      <c r="A82" s="1"/>
      <c r="B82" s="5" t="s">
        <v>303</v>
      </c>
      <c r="C82" s="20">
        <f>C81/(C78-C79)</f>
        <v>320294.44428614061</v>
      </c>
      <c r="D82" s="1"/>
      <c r="E82" s="1"/>
      <c r="F82" s="1"/>
      <c r="G82" s="1"/>
      <c r="H82" s="1"/>
    </row>
    <row r="83" spans="1:8" x14ac:dyDescent="0.4">
      <c r="A83" s="1"/>
      <c r="B83" s="5" t="s">
        <v>305</v>
      </c>
      <c r="C83" s="20">
        <f>SUM(C75:G75)</f>
        <v>47643.827571739923</v>
      </c>
      <c r="D83" s="1"/>
      <c r="E83" s="1"/>
      <c r="F83" s="1"/>
      <c r="G83" s="1"/>
      <c r="H83" s="1"/>
    </row>
    <row r="84" spans="1:8" x14ac:dyDescent="0.4">
      <c r="A84" s="1"/>
      <c r="B84" s="5" t="s">
        <v>306</v>
      </c>
      <c r="C84" s="20">
        <f>C82*G74</f>
        <v>199447.97780421883</v>
      </c>
      <c r="D84" s="1"/>
      <c r="E84" s="1"/>
      <c r="F84" s="1"/>
      <c r="G84" s="1"/>
      <c r="H84" s="1"/>
    </row>
    <row r="85" spans="1:8" x14ac:dyDescent="0.4">
      <c r="A85" s="1"/>
      <c r="B85" s="7" t="s">
        <v>4</v>
      </c>
      <c r="C85" s="30">
        <f>C83+C84</f>
        <v>247091.80537595873</v>
      </c>
      <c r="D85" s="1"/>
      <c r="E85" s="1"/>
      <c r="F85" s="1"/>
      <c r="G85" s="1"/>
      <c r="H85" s="1"/>
    </row>
    <row r="86" spans="1:8" x14ac:dyDescent="0.4">
      <c r="A86" s="1"/>
      <c r="B86" s="5" t="s">
        <v>307</v>
      </c>
      <c r="C86" s="6">
        <f>Assumptions!C11</f>
        <v>45447</v>
      </c>
      <c r="D86" s="1"/>
      <c r="E86" s="1"/>
      <c r="F86" s="1"/>
      <c r="G86" s="1"/>
      <c r="H86" s="1"/>
    </row>
    <row r="87" spans="1:8" x14ac:dyDescent="0.4">
      <c r="A87" s="1"/>
      <c r="B87" s="5" t="s">
        <v>57</v>
      </c>
      <c r="C87" s="6">
        <f>Assumptions!C12</f>
        <v>9523</v>
      </c>
      <c r="D87" s="1"/>
      <c r="E87" s="1"/>
      <c r="F87" s="1"/>
      <c r="G87" s="1"/>
      <c r="H87" s="1"/>
    </row>
    <row r="88" spans="1:8" x14ac:dyDescent="0.4">
      <c r="A88" s="1"/>
      <c r="B88" s="5" t="s">
        <v>59</v>
      </c>
      <c r="C88" s="6">
        <f>Assumptions!C13</f>
        <v>600</v>
      </c>
      <c r="D88" s="1"/>
      <c r="E88" s="1"/>
      <c r="F88" s="1"/>
      <c r="G88" s="1"/>
      <c r="H88" s="1"/>
    </row>
    <row r="89" spans="1:8" x14ac:dyDescent="0.4">
      <c r="A89" s="1"/>
      <c r="B89" s="7" t="s">
        <v>5</v>
      </c>
      <c r="C89" s="30">
        <f>C85+C86-C87-C88</f>
        <v>282415.80537595873</v>
      </c>
      <c r="D89" s="1"/>
      <c r="E89" s="1"/>
      <c r="F89" s="1"/>
      <c r="G89" s="1"/>
      <c r="H89" s="1"/>
    </row>
    <row r="90" spans="1:8" x14ac:dyDescent="0.4">
      <c r="A90" s="1"/>
      <c r="B90" s="5" t="s">
        <v>52</v>
      </c>
      <c r="C90" s="37">
        <f>Assumptions!C10</f>
        <v>3952.7579460000002</v>
      </c>
      <c r="D90" s="1"/>
      <c r="E90" s="1"/>
      <c r="F90" s="1"/>
      <c r="G90" s="1"/>
      <c r="H90" s="1"/>
    </row>
    <row r="91" spans="1:8" x14ac:dyDescent="0.4">
      <c r="A91" s="1"/>
      <c r="B91" s="7" t="s">
        <v>6</v>
      </c>
      <c r="C91" s="38">
        <f>C89/C90</f>
        <v>71.447786389690236</v>
      </c>
      <c r="D91" s="1"/>
      <c r="E91" s="1"/>
      <c r="F91" s="1"/>
      <c r="G91" s="1"/>
      <c r="H91" s="1"/>
    </row>
    <row r="92" spans="1:8" x14ac:dyDescent="0.4">
      <c r="A92" s="1"/>
      <c r="B92" s="5" t="s">
        <v>348</v>
      </c>
      <c r="C92" s="32">
        <f>Assumptions!F101</f>
        <v>14</v>
      </c>
      <c r="D92" s="1"/>
      <c r="E92" s="1"/>
      <c r="F92" s="1"/>
      <c r="G92" s="1"/>
      <c r="H92" s="1"/>
    </row>
    <row r="93" spans="1:8" x14ac:dyDescent="0.4">
      <c r="A93" s="1"/>
      <c r="B93" s="5" t="s">
        <v>310</v>
      </c>
      <c r="C93" s="33">
        <f>(C83+(G63+G67)*C92*G74+C86-C87-C88)/C90</f>
        <v>149.56020731690597</v>
      </c>
      <c r="D93" s="1"/>
      <c r="E93" s="1"/>
      <c r="F93" s="1"/>
      <c r="G93" s="1"/>
      <c r="H93" s="1"/>
    </row>
    <row r="94" spans="1:8" x14ac:dyDescent="0.4">
      <c r="A94" s="1"/>
      <c r="B94" s="5" t="s">
        <v>309</v>
      </c>
      <c r="C94" s="21">
        <f>C84/C85</f>
        <v>0.80718167687006792</v>
      </c>
      <c r="D94" s="1"/>
      <c r="E94" s="1"/>
      <c r="F94" s="1"/>
      <c r="G94" s="1"/>
      <c r="H94" s="1"/>
    </row>
    <row r="95" spans="1:8" x14ac:dyDescent="0.4">
      <c r="A95" s="1"/>
      <c r="B95" s="1"/>
      <c r="C95" s="1"/>
      <c r="D95" s="1"/>
      <c r="E95" s="1"/>
      <c r="F95" s="1"/>
      <c r="G95" s="1"/>
      <c r="H95" s="1"/>
    </row>
    <row r="96" spans="1:8" x14ac:dyDescent="0.4">
      <c r="A96" s="1"/>
      <c r="B96" s="1"/>
      <c r="C96" s="1"/>
      <c r="D96" s="1"/>
      <c r="E96" s="1"/>
      <c r="F96" s="1"/>
      <c r="G96" s="1"/>
      <c r="H96" s="1"/>
    </row>
    <row r="97" spans="1:8" x14ac:dyDescent="0.4">
      <c r="A97" s="1"/>
      <c r="B97" s="1"/>
      <c r="C97" s="1"/>
      <c r="D97" s="1"/>
      <c r="E97" s="1"/>
      <c r="F97" s="1"/>
      <c r="G97" s="1"/>
      <c r="H97" s="1"/>
    </row>
    <row r="98" spans="1:8" x14ac:dyDescent="0.4">
      <c r="A98" s="1"/>
      <c r="B98" s="1"/>
      <c r="C98" s="1"/>
      <c r="D98" s="1"/>
      <c r="E98" s="1"/>
      <c r="F98" s="1"/>
      <c r="G98" s="1"/>
      <c r="H98" s="1"/>
    </row>
    <row r="99" spans="1:8" x14ac:dyDescent="0.4">
      <c r="A99" s="1"/>
      <c r="B99" s="4" t="s">
        <v>350</v>
      </c>
      <c r="C99" s="4"/>
      <c r="D99" s="4"/>
      <c r="E99" s="4"/>
      <c r="F99" s="4"/>
      <c r="G99" s="4"/>
      <c r="H99" s="4"/>
    </row>
    <row r="100" spans="1:8" x14ac:dyDescent="0.4">
      <c r="A100" s="1"/>
      <c r="B100" s="11" t="s">
        <v>324</v>
      </c>
      <c r="C100" s="11" t="s">
        <v>22</v>
      </c>
      <c r="D100" s="11" t="s">
        <v>24</v>
      </c>
      <c r="E100" s="11" t="s">
        <v>25</v>
      </c>
      <c r="F100" s="11" t="s">
        <v>26</v>
      </c>
      <c r="G100" s="11" t="s">
        <v>27</v>
      </c>
      <c r="H100" s="1"/>
    </row>
    <row r="101" spans="1:8" x14ac:dyDescent="0.4">
      <c r="A101" s="1"/>
      <c r="B101" s="5" t="s">
        <v>325</v>
      </c>
      <c r="C101" s="28">
        <f>Assumptions!F107</f>
        <v>470000</v>
      </c>
      <c r="D101" s="28">
        <f>('Raw Data'!E74+C101)*(1+Assumptions!G108)</f>
        <v>1884415.05</v>
      </c>
      <c r="E101" s="28">
        <f>D101*(1+Assumptions!H108)</f>
        <v>1940947.5015</v>
      </c>
      <c r="F101" s="28">
        <f>E101*(1+Assumptions!I108)</f>
        <v>1979766.45153</v>
      </c>
      <c r="G101" s="28">
        <f>F101*(1+Assumptions!J108)</f>
        <v>2019361.7805606001</v>
      </c>
      <c r="H101" s="1"/>
    </row>
    <row r="102" spans="1:8" x14ac:dyDescent="0.4">
      <c r="A102" s="1"/>
      <c r="B102" s="5" t="s">
        <v>326</v>
      </c>
      <c r="C102" s="29">
        <f>Assumptions!F109</f>
        <v>41000</v>
      </c>
      <c r="D102" s="29">
        <f>C102*(1+Assumptions!G110)</f>
        <v>39770</v>
      </c>
      <c r="E102" s="29">
        <f>D102*(1+Assumptions!H110)</f>
        <v>38974.6</v>
      </c>
      <c r="F102" s="29">
        <f>E102*(1+Assumptions!I110)</f>
        <v>38974.6</v>
      </c>
      <c r="G102" s="29">
        <f>F102*(1+Assumptions!J110)</f>
        <v>38974.6</v>
      </c>
      <c r="H102" s="1"/>
    </row>
    <row r="103" spans="1:8" x14ac:dyDescent="0.4">
      <c r="A103" s="1"/>
      <c r="B103" s="5" t="s">
        <v>327</v>
      </c>
      <c r="C103" s="20">
        <f>C101*C102/1000000</f>
        <v>19270</v>
      </c>
      <c r="D103" s="20">
        <f>D101*D102/1000000</f>
        <v>74943.186538499998</v>
      </c>
      <c r="E103" s="20">
        <f>E101*E102/1000000</f>
        <v>75647.652491961897</v>
      </c>
      <c r="F103" s="20">
        <f>F101*F102/1000000</f>
        <v>77160.605541801138</v>
      </c>
      <c r="G103" s="20">
        <f>G101*G102/1000000</f>
        <v>78703.817652637168</v>
      </c>
      <c r="H103" s="1"/>
    </row>
    <row r="104" spans="1:8" x14ac:dyDescent="0.4">
      <c r="A104" s="1"/>
      <c r="B104" s="5" t="s">
        <v>328</v>
      </c>
      <c r="C104" s="29">
        <f>Assumptions!F111</f>
        <v>13</v>
      </c>
      <c r="D104" s="29">
        <f>('Raw Data'!E75+C104)*(1+Assumptions!G112)</f>
        <v>56.349999999999994</v>
      </c>
      <c r="E104" s="29">
        <f>D104*(1+Assumptions!H112)</f>
        <v>61.984999999999999</v>
      </c>
      <c r="F104" s="29">
        <f>E104*(1+Assumptions!I112)</f>
        <v>66.94380000000001</v>
      </c>
      <c r="G104" s="29">
        <f>F104*(1+Assumptions!J112)</f>
        <v>70.290990000000008</v>
      </c>
      <c r="H104" s="1"/>
    </row>
    <row r="105" spans="1:8" x14ac:dyDescent="0.4">
      <c r="A105" s="1"/>
      <c r="B105" s="5" t="s">
        <v>329</v>
      </c>
      <c r="C105" s="29">
        <f>Assumptions!F113</f>
        <v>220</v>
      </c>
      <c r="D105" s="29">
        <f>C105*(1+Assumptions!G114)</f>
        <v>209</v>
      </c>
      <c r="E105" s="29">
        <f>D105*(1+Assumptions!H114)</f>
        <v>198.54999999999998</v>
      </c>
      <c r="F105" s="29">
        <f>E105*(1+Assumptions!I114)</f>
        <v>188.62249999999997</v>
      </c>
      <c r="G105" s="29">
        <f>F105*(1+Assumptions!J114)</f>
        <v>179.19137499999997</v>
      </c>
      <c r="H105" s="1"/>
    </row>
    <row r="106" spans="1:8" x14ac:dyDescent="0.4">
      <c r="A106" s="1"/>
      <c r="B106" s="5" t="s">
        <v>330</v>
      </c>
      <c r="C106" s="20">
        <f>C104*C105</f>
        <v>2860</v>
      </c>
      <c r="D106" s="20">
        <f>D104*D105</f>
        <v>11777.15</v>
      </c>
      <c r="E106" s="20">
        <f>E104*E105</f>
        <v>12307.121749999998</v>
      </c>
      <c r="F106" s="20">
        <f>F104*F105</f>
        <v>12627.1069155</v>
      </c>
      <c r="G106" s="20">
        <f>G104*G105</f>
        <v>12595.539148211248</v>
      </c>
      <c r="H106" s="1"/>
    </row>
    <row r="107" spans="1:8" x14ac:dyDescent="0.4">
      <c r="A107" s="1"/>
      <c r="B107" s="5" t="s">
        <v>331</v>
      </c>
      <c r="C107" s="20">
        <f>Assumptions!F115</f>
        <v>4600</v>
      </c>
      <c r="D107" s="20">
        <f>('Raw Data'!E8+C107)*(1+Assumptions!G116)</f>
        <v>19634.72</v>
      </c>
      <c r="E107" s="20">
        <f>D107*(1+Assumptions!H116)</f>
        <v>21598.192000000003</v>
      </c>
      <c r="F107" s="20">
        <f>E107*(1+Assumptions!I116)</f>
        <v>23326.047360000004</v>
      </c>
      <c r="G107" s="20">
        <f>F107*(1+Assumptions!J116)</f>
        <v>25192.131148800006</v>
      </c>
      <c r="H107" s="1"/>
    </row>
    <row r="108" spans="1:8" x14ac:dyDescent="0.4">
      <c r="A108" s="1"/>
      <c r="B108" s="7" t="s">
        <v>332</v>
      </c>
      <c r="C108" s="30">
        <f>C103+C106+C107</f>
        <v>26730</v>
      </c>
      <c r="D108" s="30">
        <f>D103+D106+D107</f>
        <v>106355.05653849999</v>
      </c>
      <c r="E108" s="30">
        <f>E103+E106+E107</f>
        <v>109552.9662419619</v>
      </c>
      <c r="F108" s="30">
        <f>F103+F106+F107</f>
        <v>113113.75981730115</v>
      </c>
      <c r="G108" s="30">
        <f>G103+G106+G107</f>
        <v>116491.48794964842</v>
      </c>
      <c r="H108" s="1"/>
    </row>
    <row r="109" spans="1:8" x14ac:dyDescent="0.4">
      <c r="A109" s="1"/>
      <c r="B109" s="5" t="s">
        <v>333</v>
      </c>
      <c r="C109" s="20">
        <f>C103*Assumptions!F117+C106*Assumptions!F118+C107*Assumptions!F119</f>
        <v>4509.9500000000007</v>
      </c>
      <c r="D109" s="20">
        <f>D103*Assumptions!G117+D106*Assumptions!G118+D107*Assumptions!G119</f>
        <v>18098.061928852501</v>
      </c>
      <c r="E109" s="20">
        <f>E103*Assumptions!H117+E106*Assumptions!H118+E107*Assumptions!H119</f>
        <v>19176.610161133522</v>
      </c>
      <c r="F109" s="20">
        <f>F103*Assumptions!I117+F106*Assumptions!I118+F107*Assumptions!I119</f>
        <v>20338.555574067701</v>
      </c>
      <c r="G109" s="20">
        <f>G103*Assumptions!J117+G106*Assumptions!J118+G107*Assumptions!J119</f>
        <v>21472.268339817616</v>
      </c>
      <c r="H109" s="1"/>
    </row>
    <row r="110" spans="1:8" x14ac:dyDescent="0.4">
      <c r="A110" s="1"/>
      <c r="B110" s="7" t="s">
        <v>334</v>
      </c>
      <c r="C110" s="30">
        <f>C109-C108*(Assumptions!F120+Assumptions!F121)</f>
        <v>-301.44999999999891</v>
      </c>
      <c r="D110" s="30">
        <f>D109-D108*(Assumptions!G120+Assumptions!G121)</f>
        <v>17.702317307503108</v>
      </c>
      <c r="E110" s="30">
        <f>E109-E108*(Assumptions!H120+Assumptions!H121)</f>
        <v>2195.9003936294248</v>
      </c>
      <c r="F110" s="30">
        <f>F109-F108*(Assumptions!I120+Assumptions!I121)</f>
        <v>3937.0604005590321</v>
      </c>
      <c r="G110" s="30">
        <f>G109-G108*(Assumptions!J120+Assumptions!J121)</f>
        <v>5745.9174666150775</v>
      </c>
      <c r="H110" s="1"/>
    </row>
    <row r="111" spans="1:8" x14ac:dyDescent="0.4">
      <c r="A111" s="1"/>
      <c r="B111" s="7" t="s">
        <v>335</v>
      </c>
      <c r="C111" s="30">
        <f>C110*(1-Assumptions!F132)</f>
        <v>-232.11649999999918</v>
      </c>
      <c r="D111" s="30">
        <f>D110*(1-Assumptions!G132)</f>
        <v>13.630784326777393</v>
      </c>
      <c r="E111" s="30">
        <f>E110*(1-Assumptions!H132)</f>
        <v>1690.8433030946571</v>
      </c>
      <c r="F111" s="30">
        <f>F110*(1-Assumptions!I132)</f>
        <v>3031.5365084304549</v>
      </c>
      <c r="G111" s="30">
        <f>G110*(1-Assumptions!J132)</f>
        <v>4424.3564492936093</v>
      </c>
      <c r="H111" s="1"/>
    </row>
    <row r="112" spans="1:8" x14ac:dyDescent="0.4">
      <c r="A112" s="1"/>
      <c r="B112" s="5" t="s">
        <v>336</v>
      </c>
      <c r="C112" s="20">
        <f>'Raw Data'!E76</f>
        <v>59091</v>
      </c>
      <c r="D112" s="20">
        <f>C116</f>
        <v>64200.088000000003</v>
      </c>
      <c r="E112" s="20">
        <f>D116</f>
        <v>72496.077440000008</v>
      </c>
      <c r="F112" s="20">
        <f>E116</f>
        <v>75796.54814720001</v>
      </c>
      <c r="G112" s="20">
        <f>F116</f>
        <v>74700.962369536006</v>
      </c>
      <c r="H112" s="1"/>
    </row>
    <row r="113" spans="1:8" x14ac:dyDescent="0.4">
      <c r="A113" s="1"/>
      <c r="B113" s="5" t="s">
        <v>337</v>
      </c>
      <c r="C113" s="21">
        <f>Assumptions!F122</f>
        <v>3.2000000000000001E-2</v>
      </c>
      <c r="D113" s="21">
        <f>Assumptions!G122</f>
        <v>0.12</v>
      </c>
      <c r="E113" s="21">
        <f>Assumptions!H122</f>
        <v>0.12</v>
      </c>
      <c r="F113" s="21">
        <f>Assumptions!I122</f>
        <v>0.12</v>
      </c>
      <c r="G113" s="21">
        <f>Assumptions!J122</f>
        <v>0.12</v>
      </c>
      <c r="H113" s="1"/>
    </row>
    <row r="114" spans="1:8" x14ac:dyDescent="0.4">
      <c r="A114" s="1"/>
      <c r="B114" s="5" t="s">
        <v>338</v>
      </c>
      <c r="C114" s="20">
        <f>C112*C113</f>
        <v>1890.912</v>
      </c>
      <c r="D114" s="20">
        <f>D112*D113</f>
        <v>7704.0105599999997</v>
      </c>
      <c r="E114" s="20">
        <f>E112*E113</f>
        <v>8699.5292927999999</v>
      </c>
      <c r="F114" s="20">
        <f>F112*F113</f>
        <v>9095.5857776640005</v>
      </c>
      <c r="G114" s="20">
        <f>G112*G113</f>
        <v>8964.1154843443201</v>
      </c>
      <c r="H114" s="1"/>
    </row>
    <row r="115" spans="1:8" x14ac:dyDescent="0.4">
      <c r="A115" s="1"/>
      <c r="B115" s="5" t="s">
        <v>339</v>
      </c>
      <c r="C115" s="20">
        <f>Assumptions!F123</f>
        <v>7000</v>
      </c>
      <c r="D115" s="20">
        <f>Assumptions!G123</f>
        <v>16000</v>
      </c>
      <c r="E115" s="20">
        <f>Assumptions!H123</f>
        <v>12000</v>
      </c>
      <c r="F115" s="20">
        <f>Assumptions!I123</f>
        <v>8000</v>
      </c>
      <c r="G115" s="20">
        <f>Assumptions!J123</f>
        <v>6000</v>
      </c>
      <c r="H115" s="1"/>
    </row>
    <row r="116" spans="1:8" x14ac:dyDescent="0.4">
      <c r="A116" s="1"/>
      <c r="B116" s="5" t="s">
        <v>340</v>
      </c>
      <c r="C116" s="20">
        <f>C112+C115-C114</f>
        <v>64200.088000000003</v>
      </c>
      <c r="D116" s="20">
        <f>D112+D115-D114</f>
        <v>72496.077440000008</v>
      </c>
      <c r="E116" s="20">
        <f>E112+E115-E114</f>
        <v>75796.54814720001</v>
      </c>
      <c r="F116" s="20">
        <f>F112+F115-F114</f>
        <v>74700.962369536006</v>
      </c>
      <c r="G116" s="20">
        <f>G112+G115-G114</f>
        <v>71736.846885191684</v>
      </c>
      <c r="H116" s="1"/>
    </row>
    <row r="117" spans="1:8" x14ac:dyDescent="0.4">
      <c r="A117" s="1"/>
      <c r="B117" s="5" t="s">
        <v>341</v>
      </c>
      <c r="C117" s="20">
        <f>(C108*Assumptions!F124/365+(C108-C109)*Assumptions!F125/365+C108*Assumptions!F127-(C108-C109)*Assumptions!F126/365-C108*Assumptions!F128-C108*Assumptions!F129-C108*Assumptions!F130)*4</f>
        <v>-24516.495890410959</v>
      </c>
      <c r="D117" s="20">
        <f>D108*Assumptions!G124/365+(D108-D109)*Assumptions!G125/365+D108*Assumptions!G127-(D108-D109)*Assumptions!G126/365-D108*Assumptions!G128-D108*Assumptions!G129-D108*Assumptions!G130</f>
        <v>-24389.059572216403</v>
      </c>
      <c r="E117" s="20">
        <f>E108*Assumptions!H124/365+(E108-E109)*Assumptions!H125/365+E108*Assumptions!H127-(E108-E109)*Assumptions!H126/365-E108*Assumptions!H128-E108*Assumptions!H129-E108*Assumptions!H130</f>
        <v>-25129.715901238931</v>
      </c>
      <c r="F117" s="20">
        <f>F108*Assumptions!I124/365+(F108-F109)*Assumptions!I125/365+F108*Assumptions!I127-(F108-F109)*Assumptions!I126/365-F108*Assumptions!I128-F108*Assumptions!I129-F108*Assumptions!I130</f>
        <v>-25953.88432529792</v>
      </c>
      <c r="G117" s="20">
        <f>G108*Assumptions!J124/365+(G108-G109)*Assumptions!J125/365+G108*Assumptions!J127-(G108-G109)*Assumptions!J126/365-G108*Assumptions!J128-G108*Assumptions!J129-G108*Assumptions!J130</f>
        <v>-26736.112652951946</v>
      </c>
      <c r="H117" s="1"/>
    </row>
    <row r="118" spans="1:8" x14ac:dyDescent="0.4">
      <c r="A118" s="1"/>
      <c r="B118" s="5" t="s">
        <v>342</v>
      </c>
      <c r="C118" s="20">
        <f>C117-'Raw Data'!E81</f>
        <v>8633.504109589041</v>
      </c>
      <c r="D118" s="20">
        <f>D117-C117</f>
        <v>127.4363181945555</v>
      </c>
      <c r="E118" s="20">
        <f>E117-D117</f>
        <v>-740.65632902252764</v>
      </c>
      <c r="F118" s="20">
        <f>F117-E117</f>
        <v>-824.16842405898933</v>
      </c>
      <c r="G118" s="20">
        <f>G117-F117</f>
        <v>-782.22832765402563</v>
      </c>
      <c r="H118" s="1"/>
    </row>
    <row r="119" spans="1:8" x14ac:dyDescent="0.4">
      <c r="A119" s="1"/>
      <c r="B119" s="7" t="s">
        <v>343</v>
      </c>
      <c r="C119" s="30">
        <f>C111+C114-C115-C118</f>
        <v>-13974.708609589041</v>
      </c>
      <c r="D119" s="30">
        <f>D111+D114-D115-D118</f>
        <v>-8409.794973867778</v>
      </c>
      <c r="E119" s="30">
        <f>E111+E114-E115-E118</f>
        <v>-868.97107508281624</v>
      </c>
      <c r="F119" s="30">
        <f>F111+F114-F115-F118</f>
        <v>4951.2907101534438</v>
      </c>
      <c r="G119" s="30">
        <f>G111+G114-G115-G118</f>
        <v>8170.700261291955</v>
      </c>
      <c r="H119" s="1"/>
    </row>
    <row r="120" spans="1:8" x14ac:dyDescent="0.4">
      <c r="A120" s="1"/>
      <c r="B120" s="5" t="s">
        <v>344</v>
      </c>
      <c r="C120" s="19">
        <v>0.18082191780821921</v>
      </c>
      <c r="D120" s="19">
        <v>1.1808219178082191</v>
      </c>
      <c r="E120" s="19">
        <v>2.1808219178082191</v>
      </c>
      <c r="F120" s="19">
        <v>3.1808219178082191</v>
      </c>
      <c r="G120" s="19">
        <v>4.1808219178082204</v>
      </c>
      <c r="H120" s="1"/>
    </row>
    <row r="121" spans="1:8" x14ac:dyDescent="0.4">
      <c r="A121" s="1"/>
      <c r="B121" s="5" t="s">
        <v>345</v>
      </c>
      <c r="C121" s="36">
        <f>1/(1+Assumptions!$C$23+Assumptions!F137)^C120</f>
        <v>0.97659065914483256</v>
      </c>
      <c r="D121" s="36">
        <f>1/(1+Assumptions!$C$23+Assumptions!G137)^D120</f>
        <v>0.85668258579180012</v>
      </c>
      <c r="E121" s="36">
        <f>1/(1+Assumptions!$C$23+Assumptions!H137)^E120</f>
        <v>0.75149710467390796</v>
      </c>
      <c r="F121" s="36">
        <f>1/(1+Assumptions!$C$23+Assumptions!I137)^F120</f>
        <v>0.65922654166162475</v>
      </c>
      <c r="G121" s="36">
        <f>1/(1+Assumptions!$C$23+Assumptions!J137)^G120</f>
        <v>0.57828517306093952</v>
      </c>
      <c r="H121" s="1"/>
    </row>
    <row r="122" spans="1:8" x14ac:dyDescent="0.4">
      <c r="A122" s="1"/>
      <c r="B122" s="7" t="s">
        <v>346</v>
      </c>
      <c r="C122" s="20">
        <f>C119*C121</f>
        <v>-13647.569892395528</v>
      </c>
      <c r="D122" s="20">
        <f>D119*D121</f>
        <v>-7204.5249041919324</v>
      </c>
      <c r="E122" s="20">
        <f>E119*E121</f>
        <v>-653.02924697010951</v>
      </c>
      <c r="F122" s="20">
        <f>F119*F121</f>
        <v>3264.0222516157846</v>
      </c>
      <c r="G122" s="20">
        <f>G119*G121</f>
        <v>4724.9948146302822</v>
      </c>
      <c r="H122" s="1"/>
    </row>
    <row r="123" spans="1:8" x14ac:dyDescent="0.4">
      <c r="A123" s="1"/>
      <c r="B123" s="1"/>
      <c r="C123" s="1"/>
      <c r="D123" s="1"/>
      <c r="E123" s="1"/>
      <c r="F123" s="1"/>
      <c r="G123" s="1"/>
      <c r="H123" s="1"/>
    </row>
    <row r="124" spans="1:8" x14ac:dyDescent="0.4">
      <c r="A124" s="1"/>
      <c r="B124" s="1"/>
      <c r="C124" s="1"/>
      <c r="D124" s="1"/>
      <c r="E124" s="1"/>
      <c r="F124" s="1"/>
      <c r="G124" s="1"/>
      <c r="H124" s="1"/>
    </row>
    <row r="125" spans="1:8" x14ac:dyDescent="0.4">
      <c r="A125" s="1"/>
      <c r="B125" s="5" t="s">
        <v>17</v>
      </c>
      <c r="C125" s="21">
        <f>Assumptions!$C$23+Assumptions!F137</f>
        <v>0.13996791266885131</v>
      </c>
      <c r="D125" s="1"/>
      <c r="E125" s="1"/>
      <c r="F125" s="1"/>
      <c r="G125" s="1"/>
      <c r="H125" s="1"/>
    </row>
    <row r="126" spans="1:8" x14ac:dyDescent="0.4">
      <c r="A126" s="1"/>
      <c r="B126" s="5" t="s">
        <v>10</v>
      </c>
      <c r="C126" s="21">
        <f>Assumptions!F138</f>
        <v>0.02</v>
      </c>
      <c r="D126" s="1"/>
      <c r="E126" s="1"/>
      <c r="F126" s="1"/>
      <c r="G126" s="1"/>
      <c r="H126" s="1"/>
    </row>
    <row r="127" spans="1:8" x14ac:dyDescent="0.4">
      <c r="A127" s="1"/>
      <c r="B127" s="5" t="s">
        <v>347</v>
      </c>
      <c r="C127" s="21">
        <f>Assumptions!F139</f>
        <v>0.25</v>
      </c>
      <c r="D127" s="1"/>
      <c r="E127" s="1"/>
      <c r="F127" s="1"/>
      <c r="G127" s="1"/>
      <c r="H127" s="1"/>
    </row>
    <row r="128" spans="1:8" x14ac:dyDescent="0.4">
      <c r="A128" s="1"/>
      <c r="B128" s="5" t="s">
        <v>301</v>
      </c>
      <c r="C128" s="20">
        <f>G111*(1+C126)*(1-C127)</f>
        <v>3384.6326837096112</v>
      </c>
      <c r="D128" s="1"/>
      <c r="E128" s="1"/>
      <c r="F128" s="1"/>
      <c r="G128" s="1"/>
      <c r="H128" s="1"/>
    </row>
    <row r="129" spans="1:8" x14ac:dyDescent="0.4">
      <c r="A129" s="1"/>
      <c r="B129" s="5" t="s">
        <v>303</v>
      </c>
      <c r="C129" s="20">
        <f>C128/(C125-C126)</f>
        <v>28212.816314077652</v>
      </c>
      <c r="D129" s="1"/>
      <c r="E129" s="1"/>
      <c r="F129" s="1"/>
      <c r="G129" s="1"/>
      <c r="H129" s="1"/>
    </row>
    <row r="130" spans="1:8" x14ac:dyDescent="0.4">
      <c r="A130" s="1"/>
      <c r="B130" s="5" t="s">
        <v>305</v>
      </c>
      <c r="C130" s="20">
        <f>SUM(C122:G122)</f>
        <v>-13516.106977311501</v>
      </c>
      <c r="D130" s="1"/>
      <c r="E130" s="1"/>
      <c r="F130" s="1"/>
      <c r="G130" s="1"/>
      <c r="H130" s="1"/>
    </row>
    <row r="131" spans="1:8" x14ac:dyDescent="0.4">
      <c r="A131" s="1"/>
      <c r="B131" s="5" t="s">
        <v>306</v>
      </c>
      <c r="C131" s="20">
        <f>C129*G121</f>
        <v>16315.053364722893</v>
      </c>
      <c r="D131" s="1"/>
      <c r="E131" s="1"/>
      <c r="F131" s="1"/>
      <c r="G131" s="1"/>
      <c r="H131" s="1"/>
    </row>
    <row r="132" spans="1:8" x14ac:dyDescent="0.4">
      <c r="A132" s="1"/>
      <c r="B132" s="7" t="s">
        <v>4</v>
      </c>
      <c r="C132" s="30">
        <f>C130+C131</f>
        <v>2798.9463874113917</v>
      </c>
      <c r="D132" s="1"/>
      <c r="E132" s="1"/>
      <c r="F132" s="1"/>
      <c r="G132" s="1"/>
      <c r="H132" s="1"/>
    </row>
    <row r="133" spans="1:8" x14ac:dyDescent="0.4">
      <c r="A133" s="1"/>
      <c r="B133" s="5" t="s">
        <v>307</v>
      </c>
      <c r="C133" s="6">
        <f>Assumptions!C11</f>
        <v>45447</v>
      </c>
      <c r="D133" s="1"/>
      <c r="E133" s="1"/>
      <c r="F133" s="1"/>
      <c r="G133" s="1"/>
      <c r="H133" s="1"/>
    </row>
    <row r="134" spans="1:8" x14ac:dyDescent="0.4">
      <c r="A134" s="1"/>
      <c r="B134" s="5" t="s">
        <v>57</v>
      </c>
      <c r="C134" s="6">
        <f>Assumptions!C12</f>
        <v>9523</v>
      </c>
      <c r="D134" s="1"/>
      <c r="E134" s="1"/>
      <c r="F134" s="1"/>
      <c r="G134" s="1"/>
      <c r="H134" s="1"/>
    </row>
    <row r="135" spans="1:8" x14ac:dyDescent="0.4">
      <c r="A135" s="1"/>
      <c r="B135" s="5" t="s">
        <v>59</v>
      </c>
      <c r="C135" s="6">
        <f>Assumptions!C13</f>
        <v>600</v>
      </c>
      <c r="D135" s="1"/>
      <c r="E135" s="1"/>
      <c r="F135" s="1"/>
      <c r="G135" s="1"/>
      <c r="H135" s="1"/>
    </row>
    <row r="136" spans="1:8" x14ac:dyDescent="0.4">
      <c r="A136" s="1"/>
      <c r="B136" s="7" t="s">
        <v>5</v>
      </c>
      <c r="C136" s="30">
        <f>C132+C133-C134-C135</f>
        <v>38122.946387411394</v>
      </c>
      <c r="D136" s="1"/>
      <c r="E136" s="1"/>
      <c r="F136" s="1"/>
      <c r="G136" s="1"/>
      <c r="H136" s="1"/>
    </row>
    <row r="137" spans="1:8" x14ac:dyDescent="0.4">
      <c r="A137" s="1"/>
      <c r="B137" s="5" t="s">
        <v>52</v>
      </c>
      <c r="C137" s="37">
        <f>Assumptions!C10</f>
        <v>3952.7579460000002</v>
      </c>
      <c r="D137" s="1"/>
      <c r="E137" s="1"/>
      <c r="F137" s="1"/>
      <c r="G137" s="1"/>
      <c r="H137" s="1"/>
    </row>
    <row r="138" spans="1:8" x14ac:dyDescent="0.4">
      <c r="A138" s="1"/>
      <c r="B138" s="7" t="s">
        <v>6</v>
      </c>
      <c r="C138" s="38">
        <f>C136/C137</f>
        <v>9.6446448045193289</v>
      </c>
      <c r="D138" s="1"/>
      <c r="E138" s="1"/>
      <c r="F138" s="1"/>
      <c r="G138" s="1"/>
      <c r="H138" s="1"/>
    </row>
    <row r="139" spans="1:8" x14ac:dyDescent="0.4">
      <c r="A139" s="1"/>
      <c r="B139" s="5" t="s">
        <v>348</v>
      </c>
      <c r="C139" s="32">
        <f>Assumptions!F140</f>
        <v>10</v>
      </c>
      <c r="D139" s="1"/>
      <c r="E139" s="1"/>
      <c r="F139" s="1"/>
      <c r="G139" s="1"/>
      <c r="H139" s="1"/>
    </row>
    <row r="140" spans="1:8" x14ac:dyDescent="0.4">
      <c r="A140" s="1"/>
      <c r="B140" s="5" t="s">
        <v>310</v>
      </c>
      <c r="C140" s="33">
        <f>(C130+(G110+G114)*C139*G121+C133-C134-C135)/C137</f>
        <v>27.037788296299912</v>
      </c>
      <c r="D140" s="1"/>
      <c r="E140" s="1"/>
      <c r="F140" s="1"/>
      <c r="G140" s="1"/>
      <c r="H140" s="1"/>
    </row>
    <row r="141" spans="1:8" x14ac:dyDescent="0.4">
      <c r="A141" s="1"/>
      <c r="B141" s="5" t="s">
        <v>309</v>
      </c>
      <c r="C141" s="21">
        <f>C131/C132</f>
        <v>5.828998168061335</v>
      </c>
      <c r="D141" s="1"/>
      <c r="E141" s="1"/>
      <c r="F141" s="1"/>
      <c r="G141" s="1"/>
      <c r="H141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81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  <col min="12" max="12" width="13" customWidth="1"/>
    <col min="13" max="13" width="56" customWidth="1"/>
  </cols>
  <sheetData>
    <row r="1" spans="1:13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" x14ac:dyDescent="0.6">
      <c r="A2" s="1"/>
      <c r="B2" s="44" t="s">
        <v>351</v>
      </c>
      <c r="C2" s="43"/>
      <c r="D2" s="43"/>
      <c r="E2" s="43"/>
      <c r="F2" s="43"/>
      <c r="G2" s="43"/>
      <c r="H2" s="43"/>
      <c r="I2" s="43"/>
      <c r="J2" s="43"/>
      <c r="K2" s="43"/>
      <c r="L2" s="1"/>
      <c r="M2" s="1"/>
    </row>
    <row r="3" spans="1:13" x14ac:dyDescent="0.4">
      <c r="A3" s="1"/>
      <c r="B3" s="2" t="s">
        <v>352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4">
      <c r="A5" s="1"/>
      <c r="B5" s="26" t="s">
        <v>173</v>
      </c>
      <c r="C5" s="26" t="s">
        <v>19</v>
      </c>
      <c r="D5" s="26" t="s">
        <v>20</v>
      </c>
      <c r="E5" s="26" t="s">
        <v>21</v>
      </c>
      <c r="F5" s="26" t="s">
        <v>22</v>
      </c>
      <c r="G5" s="26" t="s">
        <v>23</v>
      </c>
      <c r="H5" s="26" t="s">
        <v>24</v>
      </c>
      <c r="I5" s="26" t="s">
        <v>25</v>
      </c>
      <c r="J5" s="26" t="s">
        <v>26</v>
      </c>
      <c r="K5" s="26" t="s">
        <v>27</v>
      </c>
      <c r="L5" s="1" t="s">
        <v>353</v>
      </c>
      <c r="M5" s="1" t="s">
        <v>354</v>
      </c>
    </row>
    <row r="6" spans="1:13" x14ac:dyDescent="0.4">
      <c r="A6" s="1"/>
      <c r="B6" s="5" t="s">
        <v>175</v>
      </c>
      <c r="C6" s="35">
        <v>77070</v>
      </c>
      <c r="D6" s="35">
        <v>69526</v>
      </c>
      <c r="E6" s="35">
        <v>57310</v>
      </c>
      <c r="F6" s="1"/>
      <c r="G6" s="1"/>
      <c r="H6" s="1"/>
      <c r="I6" s="1"/>
      <c r="J6" s="1"/>
      <c r="K6" s="1"/>
      <c r="L6" s="12" t="s">
        <v>355</v>
      </c>
      <c r="M6" s="12" t="s">
        <v>356</v>
      </c>
    </row>
    <row r="7" spans="1:13" x14ac:dyDescent="0.4">
      <c r="A7" s="1"/>
      <c r="B7" s="5" t="s">
        <v>196</v>
      </c>
      <c r="C7" s="35">
        <v>10086</v>
      </c>
      <c r="D7" s="35">
        <v>12771</v>
      </c>
      <c r="E7" s="35">
        <v>8428</v>
      </c>
      <c r="F7" s="1"/>
      <c r="G7" s="1"/>
      <c r="H7" s="1"/>
      <c r="I7" s="1"/>
      <c r="J7" s="1"/>
      <c r="K7" s="1"/>
      <c r="L7" s="12" t="s">
        <v>355</v>
      </c>
      <c r="M7" s="12" t="s">
        <v>357</v>
      </c>
    </row>
    <row r="8" spans="1:13" x14ac:dyDescent="0.4">
      <c r="A8" s="1"/>
      <c r="B8" s="5" t="s">
        <v>116</v>
      </c>
      <c r="C8" s="35">
        <v>10534</v>
      </c>
      <c r="D8" s="35">
        <v>12530</v>
      </c>
      <c r="E8" s="35">
        <v>12931</v>
      </c>
      <c r="F8" s="1"/>
      <c r="G8" s="1"/>
      <c r="H8" s="1"/>
      <c r="I8" s="1"/>
      <c r="J8" s="1"/>
      <c r="K8" s="1"/>
      <c r="L8" s="12" t="s">
        <v>355</v>
      </c>
      <c r="M8" s="12" t="s">
        <v>357</v>
      </c>
    </row>
    <row r="9" spans="1:13" x14ac:dyDescent="0.4">
      <c r="A9" s="1"/>
      <c r="B9" s="5" t="s">
        <v>179</v>
      </c>
      <c r="C9" s="35">
        <v>97690</v>
      </c>
      <c r="D9" s="35">
        <v>94827</v>
      </c>
      <c r="E9" s="35">
        <v>78669</v>
      </c>
      <c r="F9" s="1"/>
      <c r="G9" s="1"/>
      <c r="H9" s="1"/>
      <c r="I9" s="1"/>
      <c r="J9" s="1"/>
      <c r="K9" s="1"/>
      <c r="L9" s="12" t="s">
        <v>355</v>
      </c>
      <c r="M9" s="12" t="s">
        <v>358</v>
      </c>
    </row>
    <row r="10" spans="1:13" x14ac:dyDescent="0.4">
      <c r="A10" s="1"/>
      <c r="B10" s="5" t="s">
        <v>197</v>
      </c>
      <c r="C10" s="35">
        <v>62873</v>
      </c>
      <c r="D10" s="35">
        <v>57165</v>
      </c>
      <c r="E10" s="35">
        <v>46619</v>
      </c>
      <c r="F10" s="1"/>
      <c r="G10" s="1"/>
      <c r="H10" s="1"/>
      <c r="I10" s="1"/>
      <c r="J10" s="1"/>
      <c r="K10" s="1"/>
      <c r="L10" s="12" t="s">
        <v>355</v>
      </c>
      <c r="M10" s="12" t="s">
        <v>359</v>
      </c>
    </row>
    <row r="11" spans="1:13" x14ac:dyDescent="0.4">
      <c r="A11" s="1"/>
      <c r="B11" s="5" t="s">
        <v>198</v>
      </c>
      <c r="C11" s="35">
        <v>7446</v>
      </c>
      <c r="D11" s="35">
        <v>8969</v>
      </c>
      <c r="E11" s="35">
        <v>5882</v>
      </c>
      <c r="F11" s="1"/>
      <c r="G11" s="1"/>
      <c r="H11" s="1"/>
      <c r="I11" s="1"/>
      <c r="J11" s="1"/>
      <c r="K11" s="1"/>
      <c r="L11" s="12" t="s">
        <v>355</v>
      </c>
      <c r="M11" s="12" t="s">
        <v>359</v>
      </c>
    </row>
    <row r="12" spans="1:13" x14ac:dyDescent="0.4">
      <c r="A12" s="1"/>
      <c r="B12" s="5" t="s">
        <v>199</v>
      </c>
      <c r="C12" s="35">
        <v>9921</v>
      </c>
      <c r="D12" s="35">
        <v>11599</v>
      </c>
      <c r="E12" s="35">
        <v>11203</v>
      </c>
      <c r="F12" s="1"/>
      <c r="G12" s="1"/>
      <c r="H12" s="1"/>
      <c r="I12" s="1"/>
      <c r="J12" s="1"/>
      <c r="K12" s="1"/>
      <c r="L12" s="12" t="s">
        <v>355</v>
      </c>
      <c r="M12" s="12" t="s">
        <v>359</v>
      </c>
    </row>
    <row r="13" spans="1:13" x14ac:dyDescent="0.4">
      <c r="A13" s="1"/>
      <c r="B13" s="5" t="s">
        <v>200</v>
      </c>
      <c r="C13" s="35">
        <v>80240</v>
      </c>
      <c r="D13" s="35">
        <v>77733</v>
      </c>
      <c r="E13" s="35">
        <v>63704</v>
      </c>
      <c r="F13" s="1"/>
      <c r="G13" s="1"/>
      <c r="H13" s="1"/>
      <c r="I13" s="1"/>
      <c r="J13" s="1"/>
      <c r="K13" s="1"/>
      <c r="L13" s="12" t="s">
        <v>355</v>
      </c>
      <c r="M13" s="12" t="s">
        <v>358</v>
      </c>
    </row>
    <row r="14" spans="1:13" x14ac:dyDescent="0.4">
      <c r="A14" s="1"/>
      <c r="B14" s="5" t="s">
        <v>201</v>
      </c>
      <c r="C14" s="35">
        <v>17450</v>
      </c>
      <c r="D14" s="35">
        <v>17094</v>
      </c>
      <c r="E14" s="35">
        <v>14965</v>
      </c>
      <c r="F14" s="1"/>
      <c r="G14" s="1"/>
      <c r="H14" s="1"/>
      <c r="I14" s="1"/>
      <c r="J14" s="1"/>
      <c r="K14" s="1"/>
      <c r="L14" s="12" t="s">
        <v>355</v>
      </c>
      <c r="M14" s="12" t="s">
        <v>358</v>
      </c>
    </row>
    <row r="15" spans="1:13" x14ac:dyDescent="0.4">
      <c r="A15" s="1"/>
      <c r="B15" s="5" t="s">
        <v>202</v>
      </c>
      <c r="C15" s="35">
        <v>4540</v>
      </c>
      <c r="D15" s="35">
        <v>6411</v>
      </c>
      <c r="E15" s="35">
        <v>7078</v>
      </c>
      <c r="F15" s="1"/>
      <c r="G15" s="1"/>
      <c r="H15" s="1"/>
      <c r="I15" s="1"/>
      <c r="J15" s="1"/>
      <c r="K15" s="1"/>
      <c r="L15" s="12" t="s">
        <v>355</v>
      </c>
      <c r="M15" s="12" t="s">
        <v>358</v>
      </c>
    </row>
    <row r="16" spans="1:13" x14ac:dyDescent="0.4">
      <c r="A16" s="1"/>
      <c r="B16" s="5" t="s">
        <v>360</v>
      </c>
      <c r="C16" s="35">
        <v>5150</v>
      </c>
      <c r="D16" s="35">
        <v>5834</v>
      </c>
      <c r="E16" s="35">
        <v>5830</v>
      </c>
      <c r="F16" s="1"/>
      <c r="G16" s="1"/>
      <c r="H16" s="1"/>
      <c r="I16" s="1"/>
      <c r="J16" s="1"/>
      <c r="K16" s="1"/>
      <c r="L16" s="12" t="s">
        <v>355</v>
      </c>
      <c r="M16" s="12" t="s">
        <v>358</v>
      </c>
    </row>
    <row r="17" spans="1:13" x14ac:dyDescent="0.4">
      <c r="A17" s="1"/>
      <c r="B17" s="5" t="s">
        <v>204</v>
      </c>
      <c r="C17" s="35">
        <v>684</v>
      </c>
      <c r="D17" s="35">
        <v>494</v>
      </c>
      <c r="E17" s="35">
        <v>0</v>
      </c>
      <c r="F17" s="1"/>
      <c r="G17" s="1"/>
      <c r="H17" s="1"/>
      <c r="I17" s="1"/>
      <c r="J17" s="1"/>
      <c r="K17" s="1"/>
      <c r="L17" s="12" t="s">
        <v>355</v>
      </c>
      <c r="M17" s="12" t="s">
        <v>358</v>
      </c>
    </row>
    <row r="18" spans="1:13" x14ac:dyDescent="0.4">
      <c r="A18" s="1"/>
      <c r="B18" s="5" t="s">
        <v>30</v>
      </c>
      <c r="C18" s="35">
        <v>7076</v>
      </c>
      <c r="D18" s="35">
        <v>4355</v>
      </c>
      <c r="E18" s="35">
        <v>2057</v>
      </c>
      <c r="F18" s="1"/>
      <c r="G18" s="1"/>
      <c r="H18" s="1"/>
      <c r="I18" s="1"/>
      <c r="J18" s="1"/>
      <c r="K18" s="1"/>
      <c r="L18" s="12" t="s">
        <v>355</v>
      </c>
      <c r="M18" s="12" t="s">
        <v>358</v>
      </c>
    </row>
    <row r="19" spans="1:13" x14ac:dyDescent="0.4">
      <c r="A19" s="1"/>
      <c r="B19" s="5" t="s">
        <v>205</v>
      </c>
      <c r="C19" s="35">
        <v>1569</v>
      </c>
      <c r="D19" s="35">
        <v>1680</v>
      </c>
      <c r="E19" s="35">
        <v>1301</v>
      </c>
      <c r="F19" s="1"/>
      <c r="G19" s="1"/>
      <c r="H19" s="1"/>
      <c r="I19" s="1"/>
      <c r="J19" s="1"/>
      <c r="K19" s="1"/>
      <c r="L19" s="12" t="s">
        <v>355</v>
      </c>
      <c r="M19" s="12" t="s">
        <v>358</v>
      </c>
    </row>
    <row r="20" spans="1:13" x14ac:dyDescent="0.4">
      <c r="A20" s="1"/>
      <c r="B20" s="5" t="s">
        <v>206</v>
      </c>
      <c r="C20" s="35">
        <v>-350</v>
      </c>
      <c r="D20" s="35">
        <v>-338</v>
      </c>
      <c r="E20" s="35">
        <v>-263</v>
      </c>
      <c r="F20" s="1"/>
      <c r="G20" s="1"/>
      <c r="H20" s="1"/>
      <c r="I20" s="1"/>
      <c r="J20" s="1"/>
      <c r="K20" s="1"/>
      <c r="L20" s="12" t="s">
        <v>355</v>
      </c>
      <c r="M20" s="12" t="s">
        <v>361</v>
      </c>
    </row>
    <row r="21" spans="1:13" x14ac:dyDescent="0.4">
      <c r="A21" s="1"/>
      <c r="B21" s="5" t="s">
        <v>207</v>
      </c>
      <c r="C21" s="35">
        <v>695</v>
      </c>
      <c r="D21" s="35">
        <v>-419</v>
      </c>
      <c r="E21" s="35">
        <v>-62</v>
      </c>
      <c r="F21" s="1"/>
      <c r="G21" s="1"/>
      <c r="H21" s="1"/>
      <c r="I21" s="1"/>
      <c r="J21" s="1"/>
      <c r="K21" s="1"/>
      <c r="L21" s="12" t="s">
        <v>355</v>
      </c>
      <c r="M21" s="12" t="s">
        <v>358</v>
      </c>
    </row>
    <row r="22" spans="1:13" x14ac:dyDescent="0.4">
      <c r="A22" s="1"/>
      <c r="B22" s="5" t="s">
        <v>208</v>
      </c>
      <c r="C22" s="35">
        <v>8990</v>
      </c>
      <c r="D22" s="35">
        <v>5278</v>
      </c>
      <c r="E22" s="35">
        <v>3033</v>
      </c>
      <c r="F22" s="1"/>
      <c r="G22" s="1"/>
      <c r="H22" s="1"/>
      <c r="I22" s="1"/>
      <c r="J22" s="1"/>
      <c r="K22" s="1"/>
      <c r="L22" s="12" t="s">
        <v>355</v>
      </c>
      <c r="M22" s="12" t="s">
        <v>358</v>
      </c>
    </row>
    <row r="23" spans="1:13" x14ac:dyDescent="0.4">
      <c r="A23" s="1"/>
      <c r="B23" s="5" t="s">
        <v>209</v>
      </c>
      <c r="C23" s="35">
        <v>1837</v>
      </c>
      <c r="D23" s="35">
        <v>1423</v>
      </c>
      <c r="E23" s="35">
        <v>610</v>
      </c>
      <c r="F23" s="1"/>
      <c r="G23" s="1"/>
      <c r="H23" s="1"/>
      <c r="I23" s="1"/>
      <c r="J23" s="1"/>
      <c r="K23" s="1"/>
      <c r="L23" s="12" t="s">
        <v>355</v>
      </c>
      <c r="M23" s="12" t="s">
        <v>358</v>
      </c>
    </row>
    <row r="24" spans="1:13" x14ac:dyDescent="0.4">
      <c r="A24" s="1"/>
      <c r="B24" s="5" t="s">
        <v>210</v>
      </c>
      <c r="C24" s="35">
        <v>7153</v>
      </c>
      <c r="D24" s="35">
        <v>3855</v>
      </c>
      <c r="E24" s="35">
        <v>2423</v>
      </c>
      <c r="F24" s="1"/>
      <c r="G24" s="1"/>
      <c r="H24" s="1"/>
      <c r="I24" s="1"/>
      <c r="J24" s="1"/>
      <c r="K24" s="1"/>
      <c r="L24" s="12" t="s">
        <v>355</v>
      </c>
      <c r="M24" s="12" t="s">
        <v>358</v>
      </c>
    </row>
    <row r="25" spans="1:13" x14ac:dyDescent="0.4">
      <c r="A25" s="1"/>
      <c r="B25" s="5" t="s">
        <v>281</v>
      </c>
      <c r="C25" s="35">
        <v>62</v>
      </c>
      <c r="D25" s="35">
        <v>61</v>
      </c>
      <c r="E25" s="35">
        <v>45</v>
      </c>
      <c r="F25" s="1"/>
      <c r="G25" s="1"/>
      <c r="H25" s="1"/>
      <c r="I25" s="1"/>
      <c r="J25" s="1"/>
      <c r="K25" s="1"/>
      <c r="L25" s="12" t="s">
        <v>355</v>
      </c>
      <c r="M25" s="12" t="s">
        <v>358</v>
      </c>
    </row>
    <row r="26" spans="1:13" x14ac:dyDescent="0.4">
      <c r="A26" s="1"/>
      <c r="B26" s="5" t="s">
        <v>32</v>
      </c>
      <c r="C26" s="35">
        <v>7091</v>
      </c>
      <c r="D26" s="35">
        <v>3794</v>
      </c>
      <c r="E26" s="35">
        <v>2378</v>
      </c>
      <c r="F26" s="1"/>
      <c r="G26" s="1"/>
      <c r="H26" s="1"/>
      <c r="I26" s="1"/>
      <c r="J26" s="1"/>
      <c r="K26" s="1"/>
      <c r="L26" s="12" t="s">
        <v>355</v>
      </c>
      <c r="M26" s="12" t="s">
        <v>358</v>
      </c>
    </row>
    <row r="27" spans="1:13" x14ac:dyDescent="0.4">
      <c r="A27" s="1"/>
      <c r="B27" s="5" t="s">
        <v>213</v>
      </c>
      <c r="C27" s="35">
        <v>3498</v>
      </c>
      <c r="D27" s="35">
        <v>3528</v>
      </c>
      <c r="E27" s="35">
        <v>3539</v>
      </c>
      <c r="F27" s="1"/>
      <c r="G27" s="1"/>
      <c r="H27" s="1"/>
      <c r="I27" s="1"/>
      <c r="J27" s="1"/>
      <c r="K27" s="1"/>
      <c r="L27" s="12" t="s">
        <v>355</v>
      </c>
      <c r="M27" s="12" t="s">
        <v>362</v>
      </c>
    </row>
    <row r="28" spans="1:13" x14ac:dyDescent="0.4">
      <c r="A28" s="1"/>
      <c r="B28" s="5" t="s">
        <v>214</v>
      </c>
      <c r="C28" s="39">
        <v>2.04</v>
      </c>
      <c r="D28" s="39">
        <v>1.08</v>
      </c>
      <c r="E28" s="39">
        <v>0.67</v>
      </c>
      <c r="F28" s="1"/>
      <c r="G28" s="1"/>
      <c r="H28" s="1"/>
      <c r="I28" s="1"/>
      <c r="J28" s="1"/>
      <c r="K28" s="1"/>
      <c r="L28" s="12" t="s">
        <v>355</v>
      </c>
      <c r="M28" s="12" t="s">
        <v>363</v>
      </c>
    </row>
    <row r="29" spans="1:13" x14ac:dyDescent="0.4">
      <c r="A29" s="1"/>
      <c r="B29" s="5" t="s">
        <v>218</v>
      </c>
      <c r="C29" s="35">
        <v>16139</v>
      </c>
      <c r="D29" s="35">
        <v>16513</v>
      </c>
      <c r="E29" s="35">
        <v>17853</v>
      </c>
      <c r="F29" s="1"/>
      <c r="G29" s="1"/>
      <c r="H29" s="1"/>
      <c r="I29" s="1"/>
      <c r="J29" s="1"/>
      <c r="K29" s="1"/>
      <c r="L29" s="12" t="s">
        <v>53</v>
      </c>
      <c r="M29" s="12" t="s">
        <v>364</v>
      </c>
    </row>
    <row r="30" spans="1:13" x14ac:dyDescent="0.4">
      <c r="A30" s="1"/>
      <c r="B30" s="5" t="s">
        <v>219</v>
      </c>
      <c r="C30" s="35">
        <v>20424</v>
      </c>
      <c r="D30" s="35">
        <v>27546</v>
      </c>
      <c r="E30" s="35">
        <v>27594</v>
      </c>
      <c r="F30" s="1"/>
      <c r="G30" s="1"/>
      <c r="H30" s="1"/>
      <c r="I30" s="1"/>
      <c r="J30" s="1"/>
      <c r="K30" s="1"/>
      <c r="L30" s="12" t="s">
        <v>53</v>
      </c>
      <c r="M30" s="12" t="s">
        <v>364</v>
      </c>
    </row>
    <row r="31" spans="1:13" x14ac:dyDescent="0.4">
      <c r="A31" s="1"/>
      <c r="B31" s="5" t="s">
        <v>220</v>
      </c>
      <c r="C31" s="35">
        <v>4418</v>
      </c>
      <c r="D31" s="35">
        <v>4576</v>
      </c>
      <c r="E31" s="35">
        <v>4636</v>
      </c>
      <c r="F31" s="1"/>
      <c r="G31" s="1"/>
      <c r="H31" s="1"/>
      <c r="I31" s="1"/>
      <c r="J31" s="1"/>
      <c r="K31" s="1"/>
      <c r="L31" s="12" t="s">
        <v>53</v>
      </c>
      <c r="M31" s="12" t="s">
        <v>364</v>
      </c>
    </row>
    <row r="32" spans="1:13" x14ac:dyDescent="0.4">
      <c r="A32" s="1"/>
      <c r="B32" s="5" t="s">
        <v>221</v>
      </c>
      <c r="C32" s="35">
        <v>12017</v>
      </c>
      <c r="D32" s="35">
        <v>12392</v>
      </c>
      <c r="E32" s="35">
        <v>14092</v>
      </c>
      <c r="F32" s="1"/>
      <c r="G32" s="1"/>
      <c r="H32" s="1"/>
      <c r="I32" s="1"/>
      <c r="J32" s="1"/>
      <c r="K32" s="1"/>
      <c r="L32" s="12" t="s">
        <v>53</v>
      </c>
      <c r="M32" s="12" t="s">
        <v>364</v>
      </c>
    </row>
    <row r="33" spans="1:13" x14ac:dyDescent="0.4">
      <c r="A33" s="1"/>
      <c r="B33" s="5" t="s">
        <v>222</v>
      </c>
      <c r="C33" s="35">
        <v>5362</v>
      </c>
      <c r="D33" s="35">
        <v>7615</v>
      </c>
      <c r="E33" s="35">
        <v>6227</v>
      </c>
      <c r="F33" s="1"/>
      <c r="G33" s="1"/>
      <c r="H33" s="1"/>
      <c r="I33" s="1"/>
      <c r="J33" s="1"/>
      <c r="K33" s="1"/>
      <c r="L33" s="12" t="s">
        <v>53</v>
      </c>
      <c r="M33" s="12" t="s">
        <v>364</v>
      </c>
    </row>
    <row r="34" spans="1:13" x14ac:dyDescent="0.4">
      <c r="A34" s="1"/>
      <c r="B34" s="5" t="s">
        <v>223</v>
      </c>
      <c r="C34" s="35">
        <v>58360</v>
      </c>
      <c r="D34" s="35">
        <v>68642</v>
      </c>
      <c r="E34" s="35">
        <v>70402</v>
      </c>
      <c r="F34" s="1"/>
      <c r="G34" s="1"/>
      <c r="H34" s="1"/>
      <c r="I34" s="1"/>
      <c r="J34" s="1"/>
      <c r="K34" s="1"/>
      <c r="L34" s="12" t="s">
        <v>53</v>
      </c>
      <c r="M34" s="12" t="s">
        <v>364</v>
      </c>
    </row>
    <row r="35" spans="1:13" x14ac:dyDescent="0.4">
      <c r="A35" s="1"/>
      <c r="B35" s="5" t="s">
        <v>365</v>
      </c>
      <c r="C35" s="35">
        <v>5581</v>
      </c>
      <c r="D35" s="35">
        <v>4912</v>
      </c>
      <c r="E35" s="35">
        <v>4047</v>
      </c>
      <c r="F35" s="1"/>
      <c r="G35" s="1"/>
      <c r="H35" s="1"/>
      <c r="I35" s="1"/>
      <c r="J35" s="1"/>
      <c r="K35" s="1"/>
      <c r="L35" s="12" t="s">
        <v>53</v>
      </c>
      <c r="M35" s="12" t="s">
        <v>364</v>
      </c>
    </row>
    <row r="36" spans="1:13" x14ac:dyDescent="0.4">
      <c r="A36" s="1"/>
      <c r="B36" s="5" t="s">
        <v>366</v>
      </c>
      <c r="C36" s="35">
        <v>4924</v>
      </c>
      <c r="D36" s="35">
        <v>4604</v>
      </c>
      <c r="E36" s="35">
        <v>4453</v>
      </c>
      <c r="F36" s="1"/>
      <c r="G36" s="1"/>
      <c r="H36" s="1"/>
      <c r="I36" s="1"/>
      <c r="J36" s="1"/>
      <c r="K36" s="1"/>
      <c r="L36" s="12" t="s">
        <v>53</v>
      </c>
      <c r="M36" s="12" t="s">
        <v>364</v>
      </c>
    </row>
    <row r="37" spans="1:13" x14ac:dyDescent="0.4">
      <c r="A37" s="1"/>
      <c r="B37" s="5" t="s">
        <v>367</v>
      </c>
      <c r="C37" s="35">
        <v>35836</v>
      </c>
      <c r="D37" s="35">
        <v>40643</v>
      </c>
      <c r="E37" s="35">
        <v>50591</v>
      </c>
      <c r="F37" s="1"/>
      <c r="G37" s="1"/>
      <c r="H37" s="1"/>
      <c r="I37" s="1"/>
      <c r="J37" s="1"/>
      <c r="K37" s="1"/>
      <c r="L37" s="12" t="s">
        <v>53</v>
      </c>
      <c r="M37" s="12" t="s">
        <v>364</v>
      </c>
    </row>
    <row r="38" spans="1:13" x14ac:dyDescent="0.4">
      <c r="A38" s="1"/>
      <c r="B38" s="5" t="s">
        <v>368</v>
      </c>
      <c r="C38" s="35">
        <v>5160</v>
      </c>
      <c r="D38" s="35">
        <v>6027</v>
      </c>
      <c r="E38" s="35">
        <v>6555</v>
      </c>
      <c r="F38" s="1"/>
      <c r="G38" s="1"/>
      <c r="H38" s="1"/>
      <c r="I38" s="1"/>
      <c r="J38" s="1"/>
      <c r="K38" s="1"/>
      <c r="L38" s="12" t="s">
        <v>53</v>
      </c>
      <c r="M38" s="12" t="s">
        <v>364</v>
      </c>
    </row>
    <row r="39" spans="1:13" x14ac:dyDescent="0.4">
      <c r="A39" s="1"/>
      <c r="B39" s="5" t="s">
        <v>369</v>
      </c>
      <c r="C39" s="35">
        <v>1076</v>
      </c>
      <c r="D39" s="35">
        <v>1008</v>
      </c>
      <c r="E39" s="35">
        <v>962</v>
      </c>
      <c r="F39" s="1"/>
      <c r="G39" s="1"/>
      <c r="H39" s="1"/>
      <c r="I39" s="1"/>
      <c r="J39" s="1"/>
      <c r="K39" s="1"/>
      <c r="L39" s="12" t="s">
        <v>53</v>
      </c>
      <c r="M39" s="12" t="s">
        <v>364</v>
      </c>
    </row>
    <row r="40" spans="1:13" x14ac:dyDescent="0.4">
      <c r="A40" s="1"/>
      <c r="B40" s="5" t="s">
        <v>370</v>
      </c>
      <c r="C40" s="35">
        <v>6524</v>
      </c>
      <c r="D40" s="35">
        <v>6925</v>
      </c>
      <c r="E40" s="35">
        <v>7908</v>
      </c>
      <c r="F40" s="1"/>
      <c r="G40" s="1"/>
      <c r="H40" s="1"/>
      <c r="I40" s="1"/>
      <c r="J40" s="1"/>
      <c r="K40" s="1"/>
      <c r="L40" s="12" t="s">
        <v>53</v>
      </c>
      <c r="M40" s="12" t="s">
        <v>364</v>
      </c>
    </row>
    <row r="41" spans="1:13" x14ac:dyDescent="0.4">
      <c r="A41" s="1"/>
      <c r="B41" s="5" t="s">
        <v>371</v>
      </c>
      <c r="C41" s="35">
        <v>4609</v>
      </c>
      <c r="D41" s="35">
        <v>5045</v>
      </c>
      <c r="E41" s="35">
        <v>12599</v>
      </c>
      <c r="F41" s="1"/>
      <c r="G41" s="1"/>
      <c r="H41" s="1"/>
      <c r="I41" s="1"/>
      <c r="J41" s="1"/>
      <c r="K41" s="1"/>
      <c r="L41" s="12" t="s">
        <v>53</v>
      </c>
      <c r="M41" s="12" t="s">
        <v>364</v>
      </c>
    </row>
    <row r="42" spans="1:13" x14ac:dyDescent="0.4">
      <c r="A42" s="1"/>
      <c r="B42" s="5" t="s">
        <v>226</v>
      </c>
      <c r="C42" s="35">
        <v>122070</v>
      </c>
      <c r="D42" s="35">
        <v>137806</v>
      </c>
      <c r="E42" s="35">
        <v>157517</v>
      </c>
      <c r="F42" s="1"/>
      <c r="G42" s="1"/>
      <c r="H42" s="1"/>
      <c r="I42" s="1"/>
      <c r="J42" s="1"/>
      <c r="K42" s="1"/>
      <c r="L42" s="12" t="s">
        <v>53</v>
      </c>
      <c r="M42" s="12" t="s">
        <v>364</v>
      </c>
    </row>
    <row r="43" spans="1:13" x14ac:dyDescent="0.4">
      <c r="A43" s="1"/>
      <c r="B43" s="5" t="s">
        <v>227</v>
      </c>
      <c r="C43" s="35">
        <v>12474</v>
      </c>
      <c r="D43" s="35">
        <v>13371</v>
      </c>
      <c r="E43" s="35">
        <v>17239</v>
      </c>
      <c r="F43" s="1"/>
      <c r="G43" s="1"/>
      <c r="H43" s="1"/>
      <c r="I43" s="1"/>
      <c r="J43" s="1"/>
      <c r="K43" s="1"/>
      <c r="L43" s="12" t="s">
        <v>53</v>
      </c>
      <c r="M43" s="12" t="s">
        <v>364</v>
      </c>
    </row>
    <row r="44" spans="1:13" x14ac:dyDescent="0.4">
      <c r="A44" s="1"/>
      <c r="B44" s="5" t="s">
        <v>228</v>
      </c>
      <c r="C44" s="35">
        <v>10723</v>
      </c>
      <c r="D44" s="35">
        <v>13279</v>
      </c>
      <c r="E44" s="35">
        <v>17205</v>
      </c>
      <c r="F44" s="1"/>
      <c r="G44" s="1"/>
      <c r="H44" s="1"/>
      <c r="I44" s="1"/>
      <c r="J44" s="1"/>
      <c r="K44" s="1"/>
      <c r="L44" s="12" t="s">
        <v>53</v>
      </c>
      <c r="M44" s="12" t="s">
        <v>364</v>
      </c>
    </row>
    <row r="45" spans="1:13" x14ac:dyDescent="0.4">
      <c r="A45" s="1"/>
      <c r="B45" s="5" t="s">
        <v>372</v>
      </c>
      <c r="C45" s="35">
        <v>3168</v>
      </c>
      <c r="D45" s="35">
        <v>3424</v>
      </c>
      <c r="E45" s="35">
        <v>4661</v>
      </c>
      <c r="F45" s="1"/>
      <c r="G45" s="1"/>
      <c r="H45" s="1"/>
      <c r="I45" s="1"/>
      <c r="J45" s="1"/>
      <c r="K45" s="1"/>
      <c r="L45" s="12" t="s">
        <v>53</v>
      </c>
      <c r="M45" s="12" t="s">
        <v>364</v>
      </c>
    </row>
    <row r="46" spans="1:13" x14ac:dyDescent="0.4">
      <c r="A46" s="1"/>
      <c r="B46" s="5" t="s">
        <v>373</v>
      </c>
      <c r="C46" s="35">
        <v>2456</v>
      </c>
      <c r="D46" s="35">
        <v>1640</v>
      </c>
      <c r="E46" s="35">
        <v>1387</v>
      </c>
      <c r="F46" s="1"/>
      <c r="G46" s="1"/>
      <c r="H46" s="1"/>
      <c r="I46" s="1"/>
      <c r="J46" s="1"/>
      <c r="K46" s="1"/>
      <c r="L46" s="12" t="s">
        <v>53</v>
      </c>
      <c r="M46" s="12" t="s">
        <v>364</v>
      </c>
    </row>
    <row r="47" spans="1:13" x14ac:dyDescent="0.4">
      <c r="A47" s="1"/>
      <c r="B47" s="5" t="s">
        <v>374</v>
      </c>
      <c r="C47" s="35">
        <v>5757</v>
      </c>
      <c r="D47" s="35">
        <v>6736</v>
      </c>
      <c r="E47" s="35">
        <v>8136</v>
      </c>
      <c r="F47" s="1"/>
      <c r="G47" s="1"/>
      <c r="H47" s="1"/>
      <c r="I47" s="1"/>
      <c r="J47" s="1"/>
      <c r="K47" s="1"/>
      <c r="L47" s="12" t="s">
        <v>53</v>
      </c>
      <c r="M47" s="12" t="s">
        <v>364</v>
      </c>
    </row>
    <row r="48" spans="1:13" x14ac:dyDescent="0.4">
      <c r="A48" s="1"/>
      <c r="B48" s="5" t="s">
        <v>375</v>
      </c>
      <c r="C48" s="35">
        <v>3317</v>
      </c>
      <c r="D48" s="35">
        <v>3631</v>
      </c>
      <c r="E48" s="35">
        <v>4126</v>
      </c>
      <c r="F48" s="1"/>
      <c r="G48" s="1"/>
      <c r="H48" s="1"/>
      <c r="I48" s="1"/>
      <c r="J48" s="1"/>
      <c r="K48" s="1"/>
      <c r="L48" s="12" t="s">
        <v>53</v>
      </c>
      <c r="M48" s="12" t="s">
        <v>364</v>
      </c>
    </row>
    <row r="49" spans="1:13" x14ac:dyDescent="0.4">
      <c r="A49" s="1"/>
      <c r="B49" s="5" t="s">
        <v>231</v>
      </c>
      <c r="C49" s="35">
        <v>10495</v>
      </c>
      <c r="D49" s="35">
        <v>12860</v>
      </c>
      <c r="E49" s="35">
        <v>14874</v>
      </c>
      <c r="F49" s="1"/>
      <c r="G49" s="1"/>
      <c r="H49" s="1"/>
      <c r="I49" s="1"/>
      <c r="J49" s="1"/>
      <c r="K49" s="1"/>
      <c r="L49" s="12" t="s">
        <v>53</v>
      </c>
      <c r="M49" s="12" t="s">
        <v>364</v>
      </c>
    </row>
    <row r="50" spans="1:13" x14ac:dyDescent="0.4">
      <c r="A50" s="1"/>
      <c r="B50" s="5" t="s">
        <v>232</v>
      </c>
      <c r="C50" s="35">
        <v>48390</v>
      </c>
      <c r="D50" s="35">
        <v>54941</v>
      </c>
      <c r="E50" s="35">
        <v>67628</v>
      </c>
      <c r="F50" s="1"/>
      <c r="G50" s="1"/>
      <c r="H50" s="1"/>
      <c r="I50" s="1"/>
      <c r="J50" s="1"/>
      <c r="K50" s="1"/>
      <c r="L50" s="12" t="s">
        <v>53</v>
      </c>
      <c r="M50" s="12" t="s">
        <v>364</v>
      </c>
    </row>
    <row r="51" spans="1:13" x14ac:dyDescent="0.4">
      <c r="A51" s="1"/>
      <c r="B51" s="5" t="s">
        <v>233</v>
      </c>
      <c r="C51" s="35">
        <v>63</v>
      </c>
      <c r="D51" s="35">
        <v>58</v>
      </c>
      <c r="E51" s="35">
        <v>54</v>
      </c>
      <c r="F51" s="1"/>
      <c r="G51" s="1"/>
      <c r="H51" s="1"/>
      <c r="I51" s="1"/>
      <c r="J51" s="1"/>
      <c r="K51" s="1"/>
      <c r="L51" s="12" t="s">
        <v>53</v>
      </c>
      <c r="M51" s="12" t="s">
        <v>364</v>
      </c>
    </row>
    <row r="52" spans="1:13" x14ac:dyDescent="0.4">
      <c r="A52" s="1"/>
      <c r="B52" s="5" t="s">
        <v>235</v>
      </c>
      <c r="C52" s="35">
        <v>35209</v>
      </c>
      <c r="D52" s="35">
        <v>39003</v>
      </c>
      <c r="E52" s="35">
        <v>41381</v>
      </c>
      <c r="F52" s="1"/>
      <c r="G52" s="1"/>
      <c r="H52" s="1"/>
      <c r="I52" s="1"/>
      <c r="J52" s="1"/>
      <c r="K52" s="1"/>
      <c r="L52" s="12" t="s">
        <v>53</v>
      </c>
      <c r="M52" s="12" t="s">
        <v>364</v>
      </c>
    </row>
    <row r="53" spans="1:13" x14ac:dyDescent="0.4">
      <c r="A53" s="1"/>
      <c r="B53" s="5" t="s">
        <v>236</v>
      </c>
      <c r="C53" s="35">
        <v>72913</v>
      </c>
      <c r="D53" s="35">
        <v>82137</v>
      </c>
      <c r="E53" s="35">
        <v>89289</v>
      </c>
      <c r="F53" s="1"/>
      <c r="G53" s="1"/>
      <c r="H53" s="1"/>
      <c r="I53" s="1"/>
      <c r="J53" s="1"/>
      <c r="K53" s="1"/>
      <c r="L53" s="12" t="s">
        <v>53</v>
      </c>
      <c r="M53" s="12" t="s">
        <v>364</v>
      </c>
    </row>
    <row r="54" spans="1:13" x14ac:dyDescent="0.4">
      <c r="A54" s="1"/>
      <c r="B54" s="5" t="s">
        <v>237</v>
      </c>
      <c r="C54" s="35">
        <v>704</v>
      </c>
      <c r="D54" s="35">
        <v>670</v>
      </c>
      <c r="E54" s="35">
        <v>546</v>
      </c>
      <c r="F54" s="1"/>
      <c r="G54" s="1"/>
      <c r="H54" s="1"/>
      <c r="I54" s="1"/>
      <c r="J54" s="1"/>
      <c r="K54" s="1"/>
      <c r="L54" s="12" t="s">
        <v>53</v>
      </c>
      <c r="M54" s="12" t="s">
        <v>364</v>
      </c>
    </row>
    <row r="55" spans="1:13" x14ac:dyDescent="0.4">
      <c r="A55" s="1"/>
      <c r="B55" s="5" t="s">
        <v>239</v>
      </c>
      <c r="C55" s="35">
        <v>122070</v>
      </c>
      <c r="D55" s="35">
        <v>137806</v>
      </c>
      <c r="E55" s="35">
        <v>157517</v>
      </c>
      <c r="F55" s="1"/>
      <c r="G55" s="1"/>
      <c r="H55" s="1"/>
      <c r="I55" s="1"/>
      <c r="J55" s="1"/>
      <c r="K55" s="1"/>
      <c r="L55" s="12" t="s">
        <v>53</v>
      </c>
      <c r="M55" s="12" t="s">
        <v>364</v>
      </c>
    </row>
    <row r="56" spans="1:13" x14ac:dyDescent="0.4">
      <c r="A56" s="1"/>
      <c r="B56" s="5" t="s">
        <v>376</v>
      </c>
      <c r="C56" s="35">
        <v>7153</v>
      </c>
      <c r="D56" s="35">
        <v>3855</v>
      </c>
      <c r="E56" s="35">
        <v>2423</v>
      </c>
      <c r="F56" s="1"/>
      <c r="G56" s="1"/>
      <c r="H56" s="1"/>
      <c r="I56" s="1"/>
      <c r="J56" s="1"/>
      <c r="K56" s="1"/>
      <c r="L56" s="12" t="s">
        <v>53</v>
      </c>
      <c r="M56" s="12" t="s">
        <v>377</v>
      </c>
    </row>
    <row r="57" spans="1:13" x14ac:dyDescent="0.4">
      <c r="A57" s="1"/>
      <c r="B57" s="5" t="s">
        <v>378</v>
      </c>
      <c r="C57" s="35">
        <v>5368</v>
      </c>
      <c r="D57" s="35">
        <v>6148</v>
      </c>
      <c r="E57" s="35">
        <v>5061</v>
      </c>
      <c r="F57" s="1"/>
      <c r="G57" s="1"/>
      <c r="H57" s="1"/>
      <c r="I57" s="1"/>
      <c r="J57" s="1"/>
      <c r="K57" s="1"/>
      <c r="L57" s="12" t="s">
        <v>53</v>
      </c>
      <c r="M57" s="12" t="s">
        <v>377</v>
      </c>
    </row>
    <row r="58" spans="1:13" x14ac:dyDescent="0.4">
      <c r="A58" s="1"/>
      <c r="B58" s="5" t="s">
        <v>379</v>
      </c>
      <c r="C58" s="35">
        <v>1999</v>
      </c>
      <c r="D58" s="35">
        <v>2825</v>
      </c>
      <c r="E58" s="35">
        <v>3346</v>
      </c>
      <c r="F58" s="1"/>
      <c r="G58" s="1"/>
      <c r="H58" s="1"/>
      <c r="I58" s="1"/>
      <c r="J58" s="1"/>
      <c r="K58" s="1"/>
      <c r="L58" s="12" t="s">
        <v>53</v>
      </c>
      <c r="M58" s="12" t="s">
        <v>377</v>
      </c>
    </row>
    <row r="59" spans="1:13" x14ac:dyDescent="0.4">
      <c r="A59" s="1"/>
      <c r="B59" s="5" t="s">
        <v>380</v>
      </c>
      <c r="C59" s="35">
        <v>-1083</v>
      </c>
      <c r="D59" s="35">
        <v>-261</v>
      </c>
      <c r="E59" s="35">
        <v>-188</v>
      </c>
      <c r="F59" s="1"/>
      <c r="G59" s="1"/>
      <c r="H59" s="1"/>
      <c r="I59" s="1"/>
      <c r="J59" s="1"/>
      <c r="K59" s="1"/>
      <c r="L59" s="12" t="s">
        <v>53</v>
      </c>
      <c r="M59" s="12" t="s">
        <v>381</v>
      </c>
    </row>
    <row r="60" spans="1:13" x14ac:dyDescent="0.4">
      <c r="A60" s="1"/>
      <c r="B60" s="5" t="s">
        <v>382</v>
      </c>
      <c r="C60" s="35">
        <v>937</v>
      </c>
      <c r="D60" s="35">
        <v>-630</v>
      </c>
      <c r="E60" s="35">
        <v>-1976</v>
      </c>
      <c r="F60" s="1"/>
      <c r="G60" s="1"/>
      <c r="H60" s="1"/>
      <c r="I60" s="1"/>
      <c r="J60" s="1"/>
      <c r="K60" s="1"/>
      <c r="L60" s="12" t="s">
        <v>53</v>
      </c>
      <c r="M60" s="12" t="s">
        <v>381</v>
      </c>
    </row>
    <row r="61" spans="1:13" x14ac:dyDescent="0.4">
      <c r="A61" s="1"/>
      <c r="B61" s="5" t="s">
        <v>383</v>
      </c>
      <c r="C61" s="35">
        <v>-590</v>
      </c>
      <c r="D61" s="35">
        <v>-25</v>
      </c>
      <c r="E61" s="35">
        <v>300</v>
      </c>
      <c r="F61" s="1"/>
      <c r="G61" s="1"/>
      <c r="H61" s="1"/>
      <c r="I61" s="1"/>
      <c r="J61" s="1"/>
      <c r="K61" s="1"/>
      <c r="L61" s="12" t="s">
        <v>53</v>
      </c>
      <c r="M61" s="12" t="s">
        <v>381</v>
      </c>
    </row>
    <row r="62" spans="1:13" x14ac:dyDescent="0.4">
      <c r="A62" s="1"/>
      <c r="B62" s="5" t="s">
        <v>384</v>
      </c>
      <c r="C62" s="35">
        <v>-3273</v>
      </c>
      <c r="D62" s="35">
        <v>-3181</v>
      </c>
      <c r="E62" s="35">
        <v>-2846</v>
      </c>
      <c r="F62" s="1"/>
      <c r="G62" s="1"/>
      <c r="H62" s="1"/>
      <c r="I62" s="1"/>
      <c r="J62" s="1"/>
      <c r="K62" s="1"/>
      <c r="L62" s="12" t="s">
        <v>53</v>
      </c>
      <c r="M62" s="12" t="s">
        <v>381</v>
      </c>
    </row>
    <row r="63" spans="1:13" x14ac:dyDescent="0.4">
      <c r="A63" s="1"/>
      <c r="B63" s="5" t="s">
        <v>385</v>
      </c>
      <c r="C63" s="35">
        <v>3588</v>
      </c>
      <c r="D63" s="35">
        <v>4376</v>
      </c>
      <c r="E63" s="35">
        <v>7332</v>
      </c>
      <c r="F63" s="1"/>
      <c r="G63" s="1"/>
      <c r="H63" s="1"/>
      <c r="I63" s="1"/>
      <c r="J63" s="1"/>
      <c r="K63" s="1"/>
      <c r="L63" s="12" t="s">
        <v>53</v>
      </c>
      <c r="M63" s="12" t="s">
        <v>381</v>
      </c>
    </row>
    <row r="64" spans="1:13" x14ac:dyDescent="0.4">
      <c r="A64" s="1"/>
      <c r="B64" s="5" t="s">
        <v>386</v>
      </c>
      <c r="C64" s="35">
        <v>502</v>
      </c>
      <c r="D64" s="35">
        <v>363</v>
      </c>
      <c r="E64" s="35">
        <v>1746</v>
      </c>
      <c r="F64" s="1"/>
      <c r="G64" s="1"/>
      <c r="H64" s="1"/>
      <c r="I64" s="1"/>
      <c r="J64" s="1"/>
      <c r="K64" s="1"/>
      <c r="L64" s="12" t="s">
        <v>53</v>
      </c>
      <c r="M64" s="12" t="s">
        <v>381</v>
      </c>
    </row>
    <row r="65" spans="1:13" x14ac:dyDescent="0.4">
      <c r="A65" s="1"/>
      <c r="B65" s="5" t="s">
        <v>387</v>
      </c>
      <c r="C65" s="35">
        <v>14923</v>
      </c>
      <c r="D65" s="35">
        <v>14747</v>
      </c>
      <c r="E65" s="35">
        <v>14897</v>
      </c>
      <c r="F65" s="1"/>
      <c r="G65" s="1"/>
      <c r="H65" s="1"/>
      <c r="I65" s="1"/>
      <c r="J65" s="1"/>
      <c r="K65" s="1"/>
      <c r="L65" s="12" t="s">
        <v>53</v>
      </c>
      <c r="M65" s="12" t="s">
        <v>377</v>
      </c>
    </row>
    <row r="66" spans="1:13" x14ac:dyDescent="0.4">
      <c r="A66" s="1"/>
      <c r="B66" s="5" t="s">
        <v>388</v>
      </c>
      <c r="C66" s="35">
        <v>-11342</v>
      </c>
      <c r="D66" s="35">
        <v>-8527</v>
      </c>
      <c r="E66" s="35">
        <v>-13014</v>
      </c>
      <c r="F66" s="1"/>
      <c r="G66" s="1"/>
      <c r="H66" s="1"/>
      <c r="I66" s="1"/>
      <c r="J66" s="1"/>
      <c r="K66" s="1"/>
      <c r="L66" s="12" t="s">
        <v>53</v>
      </c>
      <c r="M66" s="12" t="s">
        <v>389</v>
      </c>
    </row>
    <row r="67" spans="1:13" x14ac:dyDescent="0.4">
      <c r="A67" s="1"/>
      <c r="B67" s="5" t="s">
        <v>390</v>
      </c>
      <c r="C67" s="35">
        <v>-18787</v>
      </c>
      <c r="D67" s="35">
        <v>-15478</v>
      </c>
      <c r="E67" s="35">
        <v>-14928</v>
      </c>
      <c r="F67" s="1"/>
      <c r="G67" s="1"/>
      <c r="H67" s="1"/>
      <c r="I67" s="1"/>
      <c r="J67" s="1"/>
      <c r="K67" s="1"/>
      <c r="L67" s="12" t="s">
        <v>53</v>
      </c>
      <c r="M67" s="12" t="s">
        <v>377</v>
      </c>
    </row>
    <row r="68" spans="1:13" x14ac:dyDescent="0.4">
      <c r="A68" s="1"/>
      <c r="B68" s="5" t="s">
        <v>391</v>
      </c>
      <c r="C68" s="35">
        <v>5744</v>
      </c>
      <c r="D68" s="35">
        <v>5586</v>
      </c>
      <c r="E68" s="35">
        <v>5834</v>
      </c>
      <c r="F68" s="1"/>
      <c r="G68" s="1"/>
      <c r="H68" s="1"/>
      <c r="I68" s="1"/>
      <c r="J68" s="1"/>
      <c r="K68" s="1"/>
      <c r="L68" s="12" t="s">
        <v>53</v>
      </c>
      <c r="M68" s="12" t="s">
        <v>377</v>
      </c>
    </row>
    <row r="69" spans="1:13" x14ac:dyDescent="0.4">
      <c r="A69" s="1"/>
      <c r="B69" s="5" t="s">
        <v>392</v>
      </c>
      <c r="C69" s="35">
        <v>-2500</v>
      </c>
      <c r="D69" s="35">
        <v>-5546</v>
      </c>
      <c r="E69" s="35">
        <v>-4954</v>
      </c>
      <c r="F69" s="1"/>
      <c r="G69" s="1"/>
      <c r="H69" s="1"/>
      <c r="I69" s="1"/>
      <c r="J69" s="1"/>
      <c r="K69" s="1"/>
      <c r="L69" s="12" t="s">
        <v>53</v>
      </c>
      <c r="M69" s="12" t="s">
        <v>389</v>
      </c>
    </row>
    <row r="70" spans="1:13" x14ac:dyDescent="0.4">
      <c r="A70" s="1"/>
      <c r="B70" s="5" t="s">
        <v>393</v>
      </c>
      <c r="C70" s="35">
        <v>1241</v>
      </c>
      <c r="D70" s="35">
        <v>1186</v>
      </c>
      <c r="E70" s="35">
        <v>782</v>
      </c>
      <c r="F70" s="1"/>
      <c r="G70" s="1"/>
      <c r="H70" s="1"/>
      <c r="I70" s="1"/>
      <c r="J70" s="1"/>
      <c r="K70" s="1"/>
      <c r="L70" s="12" t="s">
        <v>53</v>
      </c>
      <c r="M70" s="12" t="s">
        <v>377</v>
      </c>
    </row>
    <row r="71" spans="1:13" x14ac:dyDescent="0.4">
      <c r="A71" s="1"/>
      <c r="B71" s="5" t="s">
        <v>394</v>
      </c>
      <c r="C71" s="35">
        <v>-104</v>
      </c>
      <c r="D71" s="35">
        <v>-78</v>
      </c>
      <c r="E71" s="35">
        <v>-126</v>
      </c>
      <c r="F71" s="1"/>
      <c r="G71" s="1"/>
      <c r="H71" s="1"/>
      <c r="I71" s="1"/>
      <c r="J71" s="1"/>
      <c r="K71" s="1"/>
      <c r="L71" s="12" t="s">
        <v>53</v>
      </c>
      <c r="M71" s="12" t="s">
        <v>389</v>
      </c>
    </row>
    <row r="72" spans="1:13" x14ac:dyDescent="0.4">
      <c r="A72" s="1"/>
      <c r="B72" s="5" t="s">
        <v>395</v>
      </c>
      <c r="C72" s="35">
        <v>3853</v>
      </c>
      <c r="D72" s="35">
        <v>1139</v>
      </c>
      <c r="E72" s="35">
        <v>1536</v>
      </c>
      <c r="F72" s="1"/>
      <c r="G72" s="1"/>
      <c r="H72" s="1"/>
      <c r="I72" s="1"/>
      <c r="J72" s="1"/>
      <c r="K72" s="1"/>
      <c r="L72" s="12" t="s">
        <v>53</v>
      </c>
      <c r="M72" s="12" t="s">
        <v>377</v>
      </c>
    </row>
    <row r="73" spans="1:13" x14ac:dyDescent="0.4">
      <c r="A73" s="1"/>
      <c r="B73" s="5" t="s">
        <v>396</v>
      </c>
      <c r="C73" s="35">
        <v>-141</v>
      </c>
      <c r="D73" s="35">
        <v>171</v>
      </c>
      <c r="E73" s="35">
        <v>-115</v>
      </c>
      <c r="F73" s="1"/>
      <c r="G73" s="1"/>
      <c r="H73" s="1"/>
      <c r="I73" s="1"/>
      <c r="J73" s="1"/>
      <c r="K73" s="1"/>
      <c r="L73" s="12" t="s">
        <v>53</v>
      </c>
      <c r="M73" s="12" t="s">
        <v>397</v>
      </c>
    </row>
    <row r="74" spans="1:13" x14ac:dyDescent="0.4">
      <c r="A74" s="1"/>
      <c r="B74" s="5" t="s">
        <v>93</v>
      </c>
      <c r="C74" s="40">
        <v>1789226</v>
      </c>
      <c r="D74" s="40">
        <v>1636129</v>
      </c>
      <c r="E74" s="40">
        <v>1324681</v>
      </c>
      <c r="F74" s="1"/>
      <c r="G74" s="1"/>
      <c r="H74" s="1"/>
      <c r="I74" s="1"/>
      <c r="J74" s="1"/>
      <c r="K74" s="1"/>
      <c r="L74" s="12" t="s">
        <v>398</v>
      </c>
      <c r="M74" s="12" t="s">
        <v>399</v>
      </c>
    </row>
    <row r="75" spans="1:13" x14ac:dyDescent="0.4">
      <c r="A75" s="1"/>
      <c r="B75" s="5" t="s">
        <v>400</v>
      </c>
      <c r="C75" s="41">
        <v>31.4</v>
      </c>
      <c r="D75" s="41">
        <v>46.7</v>
      </c>
      <c r="E75" s="41">
        <v>36</v>
      </c>
      <c r="F75" s="1"/>
      <c r="G75" s="1"/>
      <c r="H75" s="1"/>
      <c r="I75" s="1"/>
      <c r="J75" s="1"/>
      <c r="K75" s="1"/>
      <c r="L75" s="12" t="s">
        <v>398</v>
      </c>
      <c r="M75" s="12" t="s">
        <v>401</v>
      </c>
    </row>
    <row r="76" spans="1:13" x14ac:dyDescent="0.4">
      <c r="A76" s="1"/>
      <c r="B76" s="5" t="s">
        <v>402</v>
      </c>
      <c r="C76" s="35">
        <v>46341</v>
      </c>
      <c r="D76" s="35">
        <v>50159</v>
      </c>
      <c r="E76" s="35">
        <v>59091</v>
      </c>
      <c r="F76" s="1"/>
      <c r="G76" s="1"/>
      <c r="H76" s="1"/>
      <c r="I76" s="1"/>
      <c r="J76" s="1"/>
      <c r="K76" s="1"/>
      <c r="L76" s="12" t="s">
        <v>53</v>
      </c>
      <c r="M76" s="12" t="s">
        <v>403</v>
      </c>
    </row>
    <row r="77" spans="1:13" x14ac:dyDescent="0.4">
      <c r="A77" s="1"/>
      <c r="B77" s="5" t="s">
        <v>404</v>
      </c>
      <c r="C77" s="35">
        <v>17369</v>
      </c>
      <c r="D77" s="35">
        <v>19005</v>
      </c>
      <c r="E77" s="35">
        <v>28024</v>
      </c>
      <c r="F77" s="1"/>
      <c r="G77" s="1"/>
      <c r="H77" s="1"/>
      <c r="I77" s="1"/>
      <c r="J77" s="1"/>
      <c r="K77" s="1"/>
      <c r="L77" s="12" t="s">
        <v>53</v>
      </c>
      <c r="M77" s="12" t="s">
        <v>405</v>
      </c>
    </row>
    <row r="78" spans="1:13" x14ac:dyDescent="0.4">
      <c r="A78" s="1"/>
      <c r="B78" s="5" t="s">
        <v>406</v>
      </c>
      <c r="C78" s="35">
        <v>6485</v>
      </c>
      <c r="D78" s="35">
        <v>7055</v>
      </c>
      <c r="E78" s="35">
        <v>8787</v>
      </c>
      <c r="F78" s="1"/>
      <c r="G78" s="1"/>
      <c r="H78" s="1"/>
      <c r="I78" s="1"/>
      <c r="J78" s="1"/>
      <c r="K78" s="1"/>
      <c r="L78" s="12" t="s">
        <v>53</v>
      </c>
      <c r="M78" s="12" t="s">
        <v>407</v>
      </c>
    </row>
    <row r="79" spans="1:13" x14ac:dyDescent="0.4">
      <c r="A79" s="1"/>
      <c r="B79" s="5" t="s">
        <v>408</v>
      </c>
      <c r="C79" s="35">
        <v>8213</v>
      </c>
      <c r="D79" s="35">
        <v>8376</v>
      </c>
      <c r="E79" s="35">
        <v>9523</v>
      </c>
      <c r="F79" s="1"/>
      <c r="G79" s="1"/>
      <c r="H79" s="1"/>
      <c r="I79" s="1"/>
      <c r="J79" s="1"/>
      <c r="K79" s="1"/>
      <c r="L79" s="12" t="s">
        <v>53</v>
      </c>
      <c r="M79" s="12" t="s">
        <v>407</v>
      </c>
    </row>
    <row r="80" spans="1:13" x14ac:dyDescent="0.4">
      <c r="A80" s="1"/>
      <c r="B80" s="5" t="s">
        <v>409</v>
      </c>
      <c r="C80" s="35">
        <v>37704</v>
      </c>
      <c r="D80" s="35">
        <v>43134</v>
      </c>
      <c r="E80" s="35">
        <v>47908</v>
      </c>
      <c r="F80" s="1"/>
      <c r="G80" s="1"/>
      <c r="H80" s="1"/>
      <c r="I80" s="1"/>
      <c r="J80" s="1"/>
      <c r="K80" s="1"/>
      <c r="L80" s="12" t="s">
        <v>53</v>
      </c>
      <c r="M80" s="12" t="s">
        <v>410</v>
      </c>
    </row>
    <row r="81" spans="1:13" x14ac:dyDescent="0.4">
      <c r="A81" s="1"/>
      <c r="B81" s="5" t="s">
        <v>411</v>
      </c>
      <c r="C81" s="35">
        <v>-18380</v>
      </c>
      <c r="D81" s="35">
        <v>-21982</v>
      </c>
      <c r="E81" s="35">
        <v>-33150</v>
      </c>
      <c r="F81" s="1"/>
      <c r="G81" s="1"/>
      <c r="H81" s="1"/>
      <c r="I81" s="1"/>
      <c r="J81" s="1"/>
      <c r="K81" s="1"/>
      <c r="L81" s="12" t="s">
        <v>53</v>
      </c>
      <c r="M81" s="12" t="s">
        <v>412</v>
      </c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6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12" customWidth="1"/>
    <col min="3" max="3" width="32" customWidth="1"/>
    <col min="4" max="4" width="22" customWidth="1"/>
    <col min="5" max="5" width="24" customWidth="1"/>
    <col min="6" max="6" width="34" customWidth="1"/>
    <col min="7" max="7" width="70" customWidth="1"/>
    <col min="8" max="8" width="42" customWidth="1"/>
    <col min="9" max="9" width="48" customWidth="1"/>
    <col min="10" max="11" width="14" customWidth="1"/>
  </cols>
  <sheetData>
    <row r="1" spans="1:11" x14ac:dyDescent="0.4">
      <c r="A1" s="1"/>
      <c r="B1" s="1"/>
      <c r="C1" s="1"/>
      <c r="D1" s="1"/>
      <c r="E1" s="1"/>
      <c r="F1" s="1"/>
      <c r="G1" s="1"/>
      <c r="H1" s="1"/>
      <c r="I1" s="1"/>
    </row>
    <row r="2" spans="1:11" ht="19" x14ac:dyDescent="0.6">
      <c r="A2" s="1"/>
      <c r="B2" s="44" t="s">
        <v>413</v>
      </c>
      <c r="C2" s="43"/>
      <c r="D2" s="43"/>
      <c r="E2" s="43"/>
      <c r="F2" s="43"/>
      <c r="G2" s="43"/>
      <c r="H2" s="43"/>
      <c r="I2" s="43"/>
      <c r="J2" s="46"/>
      <c r="K2" s="46"/>
    </row>
    <row r="3" spans="1:11" x14ac:dyDescent="0.4">
      <c r="A3" s="1"/>
      <c r="B3" s="2" t="s">
        <v>414</v>
      </c>
      <c r="C3" s="1"/>
      <c r="D3" s="1"/>
      <c r="E3" s="1"/>
      <c r="F3" s="1"/>
      <c r="G3" s="1"/>
      <c r="H3" s="1"/>
      <c r="I3" s="1"/>
    </row>
    <row r="4" spans="1:11" x14ac:dyDescent="0.4">
      <c r="A4" s="1"/>
      <c r="B4" s="1"/>
      <c r="C4" s="1"/>
      <c r="D4" s="1"/>
      <c r="E4" s="1"/>
      <c r="F4" s="1"/>
      <c r="G4" s="1"/>
      <c r="H4" s="1"/>
      <c r="I4" s="1"/>
    </row>
    <row r="5" spans="1:11" x14ac:dyDescent="0.4">
      <c r="A5" s="1"/>
      <c r="B5" s="11" t="s">
        <v>353</v>
      </c>
      <c r="C5" s="11" t="s">
        <v>415</v>
      </c>
      <c r="D5" s="11" t="s">
        <v>416</v>
      </c>
      <c r="E5" s="11" t="s">
        <v>417</v>
      </c>
      <c r="F5" s="11" t="s">
        <v>418</v>
      </c>
      <c r="G5" s="11" t="s">
        <v>419</v>
      </c>
      <c r="H5" s="11" t="s">
        <v>420</v>
      </c>
      <c r="I5" s="11" t="s">
        <v>421</v>
      </c>
    </row>
    <row r="6" spans="1:11" ht="32" customHeight="1" x14ac:dyDescent="0.4">
      <c r="A6" s="1"/>
      <c r="B6" s="27" t="s">
        <v>422</v>
      </c>
      <c r="C6" s="27" t="s">
        <v>423</v>
      </c>
      <c r="D6" s="27" t="s">
        <v>424</v>
      </c>
      <c r="E6" s="27" t="s">
        <v>425</v>
      </c>
      <c r="F6" s="27" t="s">
        <v>426</v>
      </c>
      <c r="G6" s="27" t="s">
        <v>427</v>
      </c>
      <c r="H6" s="27" t="s">
        <v>428</v>
      </c>
      <c r="I6" s="27" t="s">
        <v>429</v>
      </c>
    </row>
    <row r="7" spans="1:11" ht="32" customHeight="1" x14ac:dyDescent="0.4">
      <c r="A7" s="1"/>
      <c r="B7" s="27" t="s">
        <v>430</v>
      </c>
      <c r="C7" s="27" t="s">
        <v>431</v>
      </c>
      <c r="D7" s="27" t="s">
        <v>424</v>
      </c>
      <c r="E7" s="27" t="s">
        <v>432</v>
      </c>
      <c r="F7" s="27" t="s">
        <v>433</v>
      </c>
      <c r="G7" s="27" t="s">
        <v>434</v>
      </c>
      <c r="H7" s="27" t="s">
        <v>435</v>
      </c>
      <c r="I7" s="27" t="s">
        <v>436</v>
      </c>
    </row>
    <row r="8" spans="1:11" ht="32" customHeight="1" x14ac:dyDescent="0.4">
      <c r="A8" s="1"/>
      <c r="B8" s="27" t="s">
        <v>437</v>
      </c>
      <c r="C8" s="27" t="s">
        <v>438</v>
      </c>
      <c r="D8" s="27" t="s">
        <v>424</v>
      </c>
      <c r="E8" s="27" t="s">
        <v>439</v>
      </c>
      <c r="F8" s="27" t="s">
        <v>440</v>
      </c>
      <c r="G8" s="27" t="s">
        <v>441</v>
      </c>
      <c r="H8" s="27" t="s">
        <v>442</v>
      </c>
      <c r="I8" s="27" t="s">
        <v>436</v>
      </c>
    </row>
    <row r="9" spans="1:11" ht="32" customHeight="1" x14ac:dyDescent="0.4">
      <c r="A9" s="1"/>
      <c r="B9" s="27" t="s">
        <v>53</v>
      </c>
      <c r="C9" s="27" t="s">
        <v>443</v>
      </c>
      <c r="D9" s="27" t="s">
        <v>424</v>
      </c>
      <c r="E9" s="27" t="s">
        <v>444</v>
      </c>
      <c r="F9" s="27" t="s">
        <v>445</v>
      </c>
      <c r="G9" s="27" t="s">
        <v>446</v>
      </c>
      <c r="H9" s="27" t="s">
        <v>447</v>
      </c>
      <c r="I9" s="27" t="s">
        <v>448</v>
      </c>
    </row>
    <row r="10" spans="1:11" ht="32" customHeight="1" x14ac:dyDescent="0.4">
      <c r="A10" s="1"/>
      <c r="B10" s="27" t="s">
        <v>449</v>
      </c>
      <c r="C10" s="27" t="s">
        <v>450</v>
      </c>
      <c r="D10" s="27" t="s">
        <v>451</v>
      </c>
      <c r="E10" s="27" t="s">
        <v>452</v>
      </c>
      <c r="F10" s="27" t="s">
        <v>453</v>
      </c>
      <c r="G10" s="27" t="s">
        <v>454</v>
      </c>
      <c r="H10" s="27" t="s">
        <v>455</v>
      </c>
      <c r="I10" s="27" t="s">
        <v>456</v>
      </c>
    </row>
    <row r="11" spans="1:11" ht="32" customHeight="1" x14ac:dyDescent="0.4">
      <c r="A11" s="1"/>
      <c r="B11" s="27" t="s">
        <v>457</v>
      </c>
      <c r="C11" s="27" t="s">
        <v>458</v>
      </c>
      <c r="D11" s="27" t="s">
        <v>451</v>
      </c>
      <c r="E11" s="27" t="s">
        <v>459</v>
      </c>
      <c r="F11" s="27" t="s">
        <v>460</v>
      </c>
      <c r="G11" s="27" t="s">
        <v>461</v>
      </c>
      <c r="H11" s="27" t="s">
        <v>462</v>
      </c>
      <c r="I11" s="27" t="s">
        <v>463</v>
      </c>
    </row>
    <row r="12" spans="1:11" ht="32" customHeight="1" x14ac:dyDescent="0.4">
      <c r="A12" s="1"/>
      <c r="B12" s="27" t="s">
        <v>62</v>
      </c>
      <c r="C12" s="27" t="s">
        <v>464</v>
      </c>
      <c r="D12" s="27" t="s">
        <v>465</v>
      </c>
      <c r="E12" s="27" t="s">
        <v>466</v>
      </c>
      <c r="F12" s="27" t="s">
        <v>467</v>
      </c>
      <c r="G12" s="27" t="s">
        <v>468</v>
      </c>
      <c r="H12" s="27" t="s">
        <v>469</v>
      </c>
      <c r="I12" s="27" t="s">
        <v>470</v>
      </c>
    </row>
    <row r="13" spans="1:11" ht="32" customHeight="1" x14ac:dyDescent="0.4">
      <c r="A13" s="1"/>
      <c r="B13" s="27" t="s">
        <v>50</v>
      </c>
      <c r="C13" s="27" t="s">
        <v>471</v>
      </c>
      <c r="D13" s="27" t="s">
        <v>472</v>
      </c>
      <c r="E13" s="27" t="s">
        <v>473</v>
      </c>
      <c r="F13" s="27" t="s">
        <v>474</v>
      </c>
      <c r="G13" s="27" t="s">
        <v>475</v>
      </c>
      <c r="H13" s="27" t="s">
        <v>476</v>
      </c>
      <c r="I13" s="27" t="s">
        <v>477</v>
      </c>
    </row>
    <row r="14" spans="1:11" ht="32" customHeight="1" x14ac:dyDescent="0.4">
      <c r="A14" s="1"/>
      <c r="B14" s="27" t="s">
        <v>65</v>
      </c>
      <c r="C14" s="27" t="s">
        <v>478</v>
      </c>
      <c r="D14" s="27" t="s">
        <v>472</v>
      </c>
      <c r="E14" s="27" t="s">
        <v>479</v>
      </c>
      <c r="F14" s="27" t="s">
        <v>480</v>
      </c>
      <c r="G14" s="27" t="s">
        <v>481</v>
      </c>
      <c r="H14" s="27" t="s">
        <v>482</v>
      </c>
      <c r="I14" s="27" t="s">
        <v>483</v>
      </c>
    </row>
    <row r="15" spans="1:11" ht="32" customHeight="1" x14ac:dyDescent="0.4">
      <c r="A15" s="1"/>
      <c r="B15" s="27" t="s">
        <v>68</v>
      </c>
      <c r="C15" s="27" t="s">
        <v>484</v>
      </c>
      <c r="D15" s="27" t="s">
        <v>485</v>
      </c>
      <c r="E15" s="27" t="s">
        <v>486</v>
      </c>
      <c r="F15" s="27" t="s">
        <v>487</v>
      </c>
      <c r="G15" s="27" t="s">
        <v>488</v>
      </c>
      <c r="H15" s="27" t="s">
        <v>489</v>
      </c>
      <c r="I15" s="27" t="s">
        <v>490</v>
      </c>
    </row>
    <row r="16" spans="1:11" ht="32" customHeight="1" x14ac:dyDescent="0.4">
      <c r="A16" s="1"/>
      <c r="B16" s="27" t="s">
        <v>491</v>
      </c>
      <c r="C16" s="27" t="s">
        <v>492</v>
      </c>
      <c r="D16" s="27" t="s">
        <v>493</v>
      </c>
      <c r="E16" s="27" t="s">
        <v>494</v>
      </c>
      <c r="F16" s="27" t="s">
        <v>495</v>
      </c>
      <c r="G16" s="27" t="s">
        <v>496</v>
      </c>
      <c r="H16" s="27" t="s">
        <v>489</v>
      </c>
      <c r="I16" s="27" t="s">
        <v>497</v>
      </c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2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35" x14ac:dyDescent="0.4"/>
  <cols>
    <col min="1" max="1" width="2" customWidth="1"/>
    <col min="2" max="2" width="42" customWidth="1"/>
    <col min="3" max="11" width="14" customWidth="1"/>
  </cols>
  <sheetData>
    <row r="1" spans="1:11" x14ac:dyDescent="0.4">
      <c r="A1" s="1"/>
      <c r="B1" s="1"/>
      <c r="C1" s="1"/>
      <c r="D1" s="1"/>
      <c r="E1" s="1"/>
      <c r="F1" s="1"/>
    </row>
    <row r="2" spans="1:11" ht="19" x14ac:dyDescent="0.6">
      <c r="A2" s="1"/>
      <c r="B2" s="44" t="s">
        <v>498</v>
      </c>
      <c r="C2" s="43"/>
      <c r="D2" s="43"/>
      <c r="E2" s="43"/>
      <c r="F2" s="43"/>
      <c r="G2" s="46"/>
      <c r="H2" s="46"/>
      <c r="I2" s="46"/>
      <c r="J2" s="46"/>
      <c r="K2" s="46"/>
    </row>
    <row r="3" spans="1:11" x14ac:dyDescent="0.4">
      <c r="A3" s="1"/>
      <c r="B3" s="2" t="s">
        <v>499</v>
      </c>
      <c r="C3" s="1"/>
      <c r="D3" s="1"/>
      <c r="E3" s="1"/>
      <c r="F3" s="1"/>
    </row>
    <row r="4" spans="1:11" x14ac:dyDescent="0.4">
      <c r="A4" s="1"/>
      <c r="B4" s="1"/>
      <c r="C4" s="1"/>
      <c r="D4" s="1"/>
      <c r="E4" s="1"/>
      <c r="F4" s="1"/>
    </row>
    <row r="5" spans="1:11" x14ac:dyDescent="0.4">
      <c r="A5" s="1"/>
      <c r="B5" s="1"/>
      <c r="C5" s="1"/>
      <c r="D5" s="1"/>
      <c r="E5" s="1"/>
      <c r="F5" s="1"/>
    </row>
    <row r="6" spans="1:11" x14ac:dyDescent="0.4">
      <c r="A6" s="1"/>
      <c r="B6" s="5" t="s">
        <v>500</v>
      </c>
      <c r="C6" s="7" t="str">
        <f>IF(ABS(BS!F14-BS!F27)&lt;0.1,"Check","Error")</f>
        <v>Check</v>
      </c>
      <c r="D6" s="1"/>
      <c r="E6" s="1"/>
      <c r="F6" s="1"/>
    </row>
    <row r="7" spans="1:11" x14ac:dyDescent="0.4">
      <c r="A7" s="1"/>
      <c r="B7" s="5" t="s">
        <v>501</v>
      </c>
      <c r="C7" s="7" t="str">
        <f>IF(ABS(BS!H14-BS!H27)&lt;0.1,"Check","Error")</f>
        <v>Check</v>
      </c>
      <c r="D7" s="1"/>
      <c r="E7" s="1"/>
      <c r="F7" s="1"/>
    </row>
    <row r="8" spans="1:11" x14ac:dyDescent="0.4">
      <c r="A8" s="1"/>
      <c r="B8" s="5" t="s">
        <v>502</v>
      </c>
      <c r="C8" s="7" t="str">
        <f>IF(ABS(BS!I14-BS!I27)&lt;0.1,"Check","Error")</f>
        <v>Check</v>
      </c>
      <c r="D8" s="1"/>
      <c r="E8" s="1"/>
      <c r="F8" s="1"/>
    </row>
    <row r="9" spans="1:11" x14ac:dyDescent="0.4">
      <c r="A9" s="1"/>
      <c r="B9" s="5" t="s">
        <v>503</v>
      </c>
      <c r="C9" s="7" t="str">
        <f>IF(ABS(BS!J14-BS!J27)&lt;0.1,"Check","Error")</f>
        <v>Check</v>
      </c>
      <c r="D9" s="1"/>
      <c r="E9" s="1"/>
      <c r="F9" s="1"/>
    </row>
    <row r="10" spans="1:11" x14ac:dyDescent="0.4">
      <c r="A10" s="1"/>
      <c r="B10" s="5" t="s">
        <v>504</v>
      </c>
      <c r="C10" s="7" t="str">
        <f>IF(ABS(BS!K14-BS!K27)&lt;0.1,"Check","Error")</f>
        <v>Check</v>
      </c>
      <c r="D10" s="1"/>
      <c r="E10" s="1"/>
      <c r="F10" s="1"/>
    </row>
    <row r="11" spans="1:11" x14ac:dyDescent="0.4">
      <c r="A11" s="1"/>
      <c r="B11" s="5" t="s">
        <v>505</v>
      </c>
      <c r="C11" s="7" t="str">
        <f>IF(ABS(BS!K6-CF!K31)&lt;0.1,"Check","Error")</f>
        <v>Check</v>
      </c>
      <c r="D11" s="1"/>
      <c r="E11" s="1"/>
      <c r="F11" s="1"/>
    </row>
    <row r="12" spans="1:11" x14ac:dyDescent="0.4">
      <c r="A12" s="1"/>
      <c r="B12" s="5" t="s">
        <v>506</v>
      </c>
      <c r="C12" s="7" t="str">
        <f>IF(ABS(IS!K24-CF!K6)&lt;0.1,"Check","Error")</f>
        <v>Check</v>
      </c>
      <c r="D12" s="1"/>
      <c r="E12" s="1"/>
      <c r="F12" s="1"/>
    </row>
    <row r="13" spans="1:11" x14ac:dyDescent="0.4">
      <c r="A13" s="1"/>
      <c r="B13" s="5" t="s">
        <v>507</v>
      </c>
      <c r="C13" s="7" t="str">
        <f>IF(ABS(Schedules!K18+Schedules!K19-Schedules!K20-Schedules!K21)&lt;0.1,"Check","Error")</f>
        <v>Check</v>
      </c>
      <c r="D13" s="1"/>
      <c r="E13" s="1"/>
      <c r="F13" s="1"/>
    </row>
    <row r="14" spans="1:11" x14ac:dyDescent="0.4">
      <c r="A14" s="1"/>
      <c r="B14" s="5" t="s">
        <v>508</v>
      </c>
      <c r="C14" s="7" t="str">
        <f>IF(ABS(Schedules!K13-BS!K18)&lt;0.1,"Check","Error")</f>
        <v>Check</v>
      </c>
      <c r="D14" s="1"/>
      <c r="E14" s="1"/>
      <c r="F14" s="1"/>
    </row>
    <row r="15" spans="1:11" x14ac:dyDescent="0.4">
      <c r="A15" s="1"/>
      <c r="B15" s="5" t="s">
        <v>509</v>
      </c>
      <c r="C15" s="7" t="str">
        <f>IF(ABS(Schedules!K6+Schedules!K7-Schedules!K8-Schedules!K9)&lt;0.1,"Check","Error")</f>
        <v>Check</v>
      </c>
      <c r="D15" s="1"/>
      <c r="E15" s="1"/>
      <c r="F15" s="1"/>
    </row>
    <row r="16" spans="1:11" x14ac:dyDescent="0.4">
      <c r="A16" s="1"/>
      <c r="B16" s="5" t="s">
        <v>510</v>
      </c>
      <c r="C16" s="7" t="str">
        <f>IF(ABS(DCF!C36-CHOOSE(MATCH(Assumptions!C4,{"Base","Bull","Bear"},0),'Scenario DCF'!C44,'Scenario DCF'!C91,'Scenario DCF'!C138))&lt;0.01,"Check","Error")</f>
        <v>Check</v>
      </c>
      <c r="D16" s="1"/>
      <c r="E16" s="1"/>
      <c r="F16" s="1"/>
    </row>
    <row r="17" spans="1:6" x14ac:dyDescent="0.4">
      <c r="A17" s="1"/>
      <c r="B17" s="5" t="s">
        <v>511</v>
      </c>
      <c r="C17" s="7" t="str">
        <f>IF(DCF!C23&gt;DCF!C24,"Check","Error")</f>
        <v>Check</v>
      </c>
      <c r="D17" s="1"/>
      <c r="E17" s="1"/>
      <c r="F17" s="1"/>
    </row>
    <row r="18" spans="1:6" x14ac:dyDescent="0.4">
      <c r="A18" s="1"/>
      <c r="B18" s="5" t="s">
        <v>512</v>
      </c>
      <c r="C18" s="7" t="str">
        <f>IF(MIN(BS!F6,BS!H6:'BS'!K6)&gt;=0,"Check","Error")</f>
        <v>Check</v>
      </c>
      <c r="D18" s="1"/>
      <c r="E18" s="1"/>
      <c r="F18" s="1"/>
    </row>
    <row r="19" spans="1:6" x14ac:dyDescent="0.4">
      <c r="A19" s="1"/>
      <c r="B19" s="1"/>
      <c r="C19" s="1"/>
      <c r="D19" s="1"/>
      <c r="E19" s="1"/>
      <c r="F19" s="1"/>
    </row>
    <row r="20" spans="1:6" x14ac:dyDescent="0.4">
      <c r="A20" s="1"/>
      <c r="B20" s="1"/>
      <c r="C20" s="1"/>
      <c r="D20" s="1"/>
      <c r="E20" s="1"/>
      <c r="F20" s="1"/>
    </row>
    <row r="21" spans="1:6" x14ac:dyDescent="0.4">
      <c r="A21" s="1"/>
      <c r="B21" s="1"/>
      <c r="C21" s="1"/>
      <c r="D21" s="1"/>
      <c r="E21" s="1"/>
      <c r="F21" s="1"/>
    </row>
    <row r="22" spans="1:6" x14ac:dyDescent="0.4">
      <c r="A22" s="1"/>
      <c r="B22" s="2" t="s">
        <v>513</v>
      </c>
      <c r="C22" s="1"/>
      <c r="D22" s="1"/>
      <c r="E22" s="1"/>
      <c r="F22" s="1"/>
    </row>
  </sheetData>
  <mergeCells count="1">
    <mergeCell ref="B2:K2"/>
  </mergeCells>
  <phoneticPr fontId="17" type="noConversion"/>
  <printOptions horizontalCentered="1"/>
  <pageMargins left="0.75" right="0.75" top="1" bottom="1" header="0.5" footer="0.5"/>
  <pageSetup fitToHeight="0"/>
  <headerFooter>
    <oddFooter>&amp;CTesla model | &amp;D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</vt:lpstr>
      <vt:lpstr>Assumptions</vt:lpstr>
      <vt:lpstr>Drivers</vt:lpstr>
      <vt:lpstr>IS</vt:lpstr>
      <vt:lpstr>BS</vt:lpstr>
      <vt:lpstr>CF</vt:lpstr>
      <vt:lpstr>Schedules</vt:lpstr>
      <vt:lpstr>DCF</vt:lpstr>
      <vt:lpstr>Sensitivity</vt:lpstr>
      <vt:lpstr>Scenario DCF</vt:lpstr>
      <vt:lpstr>Raw Data</vt:lpstr>
      <vt:lpstr>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liqi ma</cp:lastModifiedBy>
  <dcterms:created xsi:type="dcterms:W3CDTF">2026-10-26T16:18:08Z</dcterms:created>
  <dcterms:modified xsi:type="dcterms:W3CDTF">2026-10-26T16:18:11Z</dcterms:modified>
</cp:coreProperties>
</file>